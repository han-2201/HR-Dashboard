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hanchan/Desktop/HR_DASHBOARD/"/>
    </mc:Choice>
  </mc:AlternateContent>
  <xr:revisionPtr revIDLastSave="0" documentId="13_ncr:1_{2CE3F395-B657-254D-ACFC-FB2D616E06A6}" xr6:coauthVersionLast="47" xr6:coauthVersionMax="47" xr10:uidLastSave="{00000000-0000-0000-0000-000000000000}"/>
  <bookViews>
    <workbookView xWindow="0" yWindow="740" windowWidth="29400" windowHeight="17040" xr2:uid="{00000000-000D-0000-FFFF-FFFF00000000}"/>
  </bookViews>
  <sheets>
    <sheet name="Sheet1" sheetId="1" r:id="rId1"/>
  </sheets>
  <definedNames>
    <definedName name="_xlnm._FilterDatabase" localSheetId="0" hidden="1">Sheet1!$A$1:$AO$101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0" i="1" l="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3" i="1"/>
  <c r="AM4" i="1"/>
  <c r="AM5" i="1"/>
  <c r="AM6" i="1"/>
  <c r="AM7" i="1"/>
  <c r="AM8" i="1"/>
  <c r="AM9" i="1"/>
  <c r="AM10" i="1"/>
  <c r="AM11" i="1"/>
  <c r="AM12" i="1"/>
  <c r="AM13" i="1"/>
  <c r="AM14" i="1"/>
  <c r="AM15" i="1"/>
  <c r="AM16" i="1"/>
  <c r="AM17" i="1"/>
  <c r="AM18" i="1"/>
  <c r="AM19" i="1"/>
  <c r="AM2" i="1"/>
</calcChain>
</file>

<file path=xl/sharedStrings.xml><?xml version="1.0" encoding="utf-8"?>
<sst xmlns="http://schemas.openxmlformats.org/spreadsheetml/2006/main" count="2087" uniqueCount="469">
  <si>
    <t>MSNV</t>
  </si>
  <si>
    <t>Nơi làm việc</t>
  </si>
  <si>
    <t>Hình thức làm việc</t>
  </si>
  <si>
    <t>Ngày sinh</t>
  </si>
  <si>
    <t>Chức danh</t>
  </si>
  <si>
    <t>Công nghệ</t>
  </si>
  <si>
    <t>Cấp bậc</t>
  </si>
  <si>
    <t>Level</t>
  </si>
  <si>
    <t>Nhóm</t>
  </si>
  <si>
    <t>Phòng ban</t>
  </si>
  <si>
    <t>Khối</t>
  </si>
  <si>
    <t>Ngày vào làm</t>
  </si>
  <si>
    <t>Ngày làm việc cuối cùng</t>
  </si>
  <si>
    <t>Lý do nghỉ việc</t>
  </si>
  <si>
    <t>Thâm niên</t>
  </si>
  <si>
    <t>Thâm niên.1</t>
  </si>
  <si>
    <t>Tình trạng</t>
  </si>
  <si>
    <t>HĐ hiện tại</t>
  </si>
  <si>
    <t>HĐ hiện tại bắt đầu từ</t>
  </si>
  <si>
    <t>HĐ hiện tại đến</t>
  </si>
  <si>
    <t>Thời hạn ký (tháng)</t>
  </si>
  <si>
    <t>CTV từ</t>
  </si>
  <si>
    <t>CTV đến</t>
  </si>
  <si>
    <t>Thử việc từ</t>
  </si>
  <si>
    <t>Thử việc đến</t>
  </si>
  <si>
    <t>HĐLĐ lần 1 từ</t>
  </si>
  <si>
    <t>HĐLĐ lần 1 đến</t>
  </si>
  <si>
    <t>HĐLĐ lần 2 từ</t>
  </si>
  <si>
    <t>HĐLĐ lần 2 đến</t>
  </si>
  <si>
    <t>HĐLĐ vô thời hạn từ</t>
  </si>
  <si>
    <t>Tuổi</t>
  </si>
  <si>
    <t>Giới tính</t>
  </si>
  <si>
    <t>Tôn giáo</t>
  </si>
  <si>
    <t>Quốc tịch</t>
  </si>
  <si>
    <t>Địa chỉ thường trú</t>
  </si>
  <si>
    <t>Địa chỉ liên lạc</t>
  </si>
  <si>
    <t>Tình trạng hôn nhân</t>
  </si>
  <si>
    <t>Trình độ học vấn</t>
  </si>
  <si>
    <t>Tên trường</t>
  </si>
  <si>
    <t>Chuyên ngành</t>
  </si>
  <si>
    <t>Sinh Nhật</t>
  </si>
  <si>
    <t>IPC-001</t>
  </si>
  <si>
    <t>VN</t>
  </si>
  <si>
    <t>Onsite Fulltime</t>
  </si>
  <si>
    <t>CEO</t>
  </si>
  <si>
    <t>General Director</t>
  </si>
  <si>
    <t>C - Level</t>
  </si>
  <si>
    <t>BOD</t>
  </si>
  <si>
    <t xml:space="preserve">3 năm 0 tháng 29 ngày </t>
  </si>
  <si>
    <t>ON</t>
  </si>
  <si>
    <t>Hợp đồng vô thời hạn</t>
  </si>
  <si>
    <t>Nam</t>
  </si>
  <si>
    <t xml:space="preserve">Không </t>
  </si>
  <si>
    <t xml:space="preserve">Việt Nam </t>
  </si>
  <si>
    <t xml:space="preserve">Đã kết hôn </t>
  </si>
  <si>
    <t xml:space="preserve">Đại học </t>
  </si>
  <si>
    <t>IPC-002</t>
  </si>
  <si>
    <t>Remote</t>
  </si>
  <si>
    <t>HR</t>
  </si>
  <si>
    <t>Rec</t>
  </si>
  <si>
    <t>Staff</t>
  </si>
  <si>
    <t>Middle</t>
  </si>
  <si>
    <t xml:space="preserve">Human Resource </t>
  </si>
  <si>
    <t>BO</t>
  </si>
  <si>
    <t>Nữ</t>
  </si>
  <si>
    <t>IPC-008</t>
  </si>
  <si>
    <t>Accountant</t>
  </si>
  <si>
    <t>Manager</t>
  </si>
  <si>
    <t>Accounting</t>
  </si>
  <si>
    <t xml:space="preserve">2 năm 11 tháng 7 ngày </t>
  </si>
  <si>
    <t>Kê toán</t>
  </si>
  <si>
    <t>Tây Hồ</t>
  </si>
  <si>
    <t>Hà Nội</t>
  </si>
  <si>
    <t>IPC-003</t>
  </si>
  <si>
    <t>Dev</t>
  </si>
  <si>
    <t>Cloud</t>
  </si>
  <si>
    <t>Senior</t>
  </si>
  <si>
    <t>OpenDA Group</t>
  </si>
  <si>
    <t xml:space="preserve">Engineering </t>
  </si>
  <si>
    <t>Delivery Business Unit</t>
  </si>
  <si>
    <t xml:space="preserve">3 năm 0 tháng 23 ngày </t>
  </si>
  <si>
    <t xml:space="preserve">Độc thân </t>
  </si>
  <si>
    <t>Bình Định</t>
  </si>
  <si>
    <t>Phù Cát</t>
  </si>
  <si>
    <t>IPC-004</t>
  </si>
  <si>
    <t>CTO</t>
  </si>
  <si>
    <t>BrSE</t>
  </si>
  <si>
    <t>Director</t>
  </si>
  <si>
    <t>Thanh Trì</t>
  </si>
  <si>
    <t>IPC-005</t>
  </si>
  <si>
    <t>AI</t>
  </si>
  <si>
    <t>Delivery</t>
  </si>
  <si>
    <t>Đi du học</t>
  </si>
  <si>
    <t>OFF</t>
  </si>
  <si>
    <t>Cần Thơ</t>
  </si>
  <si>
    <t>IPC-006</t>
  </si>
  <si>
    <t xml:space="preserve">Onsite </t>
  </si>
  <si>
    <t xml:space="preserve">3 năm 0 tháng 19 ngày </t>
  </si>
  <si>
    <t>HĐLĐ lần 1</t>
  </si>
  <si>
    <t>Phú Thọ</t>
  </si>
  <si>
    <t>IPC-007</t>
  </si>
  <si>
    <t>Hợp đồng thử việc</t>
  </si>
  <si>
    <t>IPC-009</t>
  </si>
  <si>
    <t>Data</t>
  </si>
  <si>
    <t>Junior</t>
  </si>
  <si>
    <t>HĐLĐ lần 2</t>
  </si>
  <si>
    <t>Việt Nam</t>
  </si>
  <si>
    <t>Hà Nam</t>
  </si>
  <si>
    <t>IPC-010</t>
  </si>
  <si>
    <t>Web</t>
  </si>
  <si>
    <t xml:space="preserve">Rise Group  </t>
  </si>
  <si>
    <t xml:space="preserve">ĐH Hà Nội </t>
  </si>
  <si>
    <t>Ba Đình</t>
  </si>
  <si>
    <t>IPC-011</t>
  </si>
  <si>
    <t>Spark Group</t>
  </si>
  <si>
    <t xml:space="preserve">2 năm 9 tháng 20 ngày </t>
  </si>
  <si>
    <t>Hà Đông</t>
  </si>
  <si>
    <t>Tester</t>
  </si>
  <si>
    <t>TTS</t>
  </si>
  <si>
    <t xml:space="preserve">126 năm 6 tháng 8 ngày </t>
  </si>
  <si>
    <t>IPC-013</t>
  </si>
  <si>
    <t>Comtor</t>
  </si>
  <si>
    <t>IPC-014</t>
  </si>
  <si>
    <t>Thay đổi định hướng công việc, lên làm trên sân bay chỗ người nhà</t>
  </si>
  <si>
    <t xml:space="preserve">2 năm 7 tháng 7 ngày </t>
  </si>
  <si>
    <t>Bắc Từ Liêm</t>
  </si>
  <si>
    <t>IPC-015</t>
  </si>
  <si>
    <t xml:space="preserve">2 năm 6 tháng 6 ngày </t>
  </si>
  <si>
    <t>Thanh Hóa</t>
  </si>
  <si>
    <t>Hàng Bài</t>
  </si>
  <si>
    <t>IPC-016</t>
  </si>
  <si>
    <t>Không đảm bảo được chất lượng công việc</t>
  </si>
  <si>
    <t xml:space="preserve">2 năm 5 tháng 23 ngày </t>
  </si>
  <si>
    <t>IPC-017</t>
  </si>
  <si>
    <t>Intern</t>
  </si>
  <si>
    <t xml:space="preserve">2 năm 6 tháng 0 ngày </t>
  </si>
  <si>
    <t>Hợp đồng CTV</t>
  </si>
  <si>
    <t>IPC-018</t>
  </si>
  <si>
    <t xml:space="preserve">2 năm 5 tháng 22 ngày </t>
  </si>
  <si>
    <t>Thái Bình</t>
  </si>
  <si>
    <t>IPC-019</t>
  </si>
  <si>
    <t>Dừng thực tập</t>
  </si>
  <si>
    <t xml:space="preserve">2 năm 2 tháng 19 ngày </t>
  </si>
  <si>
    <t>Chương Mỹ</t>
  </si>
  <si>
    <t>IPC-020</t>
  </si>
  <si>
    <t xml:space="preserve">2 năm 2 tháng 2 ngày </t>
  </si>
  <si>
    <t>Học viện Bưu chính viễn thông</t>
  </si>
  <si>
    <t xml:space="preserve">Công nghệ thông tin </t>
  </si>
  <si>
    <t>Long Biên</t>
  </si>
  <si>
    <t>IPC-021</t>
  </si>
  <si>
    <t>HR Leader</t>
  </si>
  <si>
    <t xml:space="preserve">2 năm 1 tháng 5 ngày </t>
  </si>
  <si>
    <t>Công giáo</t>
  </si>
  <si>
    <t>ĐH Thương Mại</t>
  </si>
  <si>
    <t>Nam Định</t>
  </si>
  <si>
    <t>Hoàng Mai</t>
  </si>
  <si>
    <t>IPC-022</t>
  </si>
  <si>
    <t xml:space="preserve">2 năm 0 tháng 21 ngày </t>
  </si>
  <si>
    <t xml:space="preserve">Cao Đẳng </t>
  </si>
  <si>
    <t>CĐ nghề Bách Khoa</t>
  </si>
  <si>
    <t>IPC-023</t>
  </si>
  <si>
    <t xml:space="preserve">2 năm 0 tháng 5 ngày </t>
  </si>
  <si>
    <t>Kỹ thuật máy tính</t>
  </si>
  <si>
    <t>Bắc Giang</t>
  </si>
  <si>
    <t>Đống Đa</t>
  </si>
  <si>
    <t>IPC-024</t>
  </si>
  <si>
    <t>Thay đổi định hướng công việc
Công ty nên document lại để các bạn mới có thể tiếp cận công việc dễ hơn</t>
  </si>
  <si>
    <t xml:space="preserve">1 năm 11 tháng 7 ngày </t>
  </si>
  <si>
    <t xml:space="preserve">Thạc sĩ </t>
  </si>
  <si>
    <t>Yokohama National University</t>
  </si>
  <si>
    <t>Control and Robotics</t>
  </si>
  <si>
    <t>Lâm Đồng</t>
  </si>
  <si>
    <t>Đức Trọng</t>
  </si>
  <si>
    <t>IPC-025</t>
  </si>
  <si>
    <t>NB</t>
  </si>
  <si>
    <t>Sale</t>
  </si>
  <si>
    <t>Team Lead</t>
  </si>
  <si>
    <t>Sale Japan</t>
  </si>
  <si>
    <t>IPC-026</t>
  </si>
  <si>
    <t>Marketing</t>
  </si>
  <si>
    <t>Fresher</t>
  </si>
  <si>
    <t xml:space="preserve">Sale Marketing </t>
  </si>
  <si>
    <t xml:space="preserve">1 năm 10 tháng 12 ngày </t>
  </si>
  <si>
    <t>Đại học Quốc tế Thái Bình Dương</t>
  </si>
  <si>
    <t>Kinh tế quốc tế</t>
  </si>
  <si>
    <t>IPC-027</t>
  </si>
  <si>
    <t>Có offer công ty khác cao hơn - 17,5M</t>
  </si>
  <si>
    <t xml:space="preserve">1 năm 10 tháng 4 ngày </t>
  </si>
  <si>
    <t xml:space="preserve">Khoa học máy tính </t>
  </si>
  <si>
    <t>Ninh Bình</t>
  </si>
  <si>
    <t>Thanh Xuân</t>
  </si>
  <si>
    <t>IPC-028</t>
  </si>
  <si>
    <t>Trường Đại học Mở Hà Nội</t>
  </si>
  <si>
    <t>Công nghệ thông tin</t>
  </si>
  <si>
    <t>Thanh Liệt</t>
  </si>
  <si>
    <t>IPC-029</t>
  </si>
  <si>
    <t>Solution</t>
  </si>
  <si>
    <t>Công việc bị áp lực quá, muốn tập trung vào sinh con nên muốn tìm công việc không quá áp lực</t>
  </si>
  <si>
    <t xml:space="preserve">1 năm 9 tháng 29 ngày </t>
  </si>
  <si>
    <t>Đại học Thăng Long</t>
  </si>
  <si>
    <t>Ngôn ngữ Nhật</t>
  </si>
  <si>
    <t>Thanh Oai</t>
  </si>
  <si>
    <t>IPC-030</t>
  </si>
  <si>
    <t>Trung tâm FPT Aptech</t>
  </si>
  <si>
    <t>Công nghệ phần mềm</t>
  </si>
  <si>
    <t>IPC-031</t>
  </si>
  <si>
    <t xml:space="preserve">1 năm 8 tháng 24 ngày </t>
  </si>
  <si>
    <t>Đại học Công nghiệp Hà Nội</t>
  </si>
  <si>
    <t>Đan Phượng</t>
  </si>
  <si>
    <t>IPC-032</t>
  </si>
  <si>
    <t>Không phù hợp
Kết hợp vs giáo sư để nghiên cứu</t>
  </si>
  <si>
    <t xml:space="preserve">1 năm 8 tháng 4 ngày </t>
  </si>
  <si>
    <t>Đại học Kyoto</t>
  </si>
  <si>
    <t>Điện Điện tử</t>
  </si>
  <si>
    <t>IPC-033</t>
  </si>
  <si>
    <t xml:space="preserve">1 năm 7 tháng 27 ngày </t>
  </si>
  <si>
    <t>IPC-034</t>
  </si>
  <si>
    <t>Chuyển nơi ở</t>
  </si>
  <si>
    <t xml:space="preserve">1 năm 7 tháng 20 ngày </t>
  </si>
  <si>
    <t>Đại học Tài nguyên và môi trường</t>
  </si>
  <si>
    <t>Kỹ sư đất đai</t>
  </si>
  <si>
    <t>IPC-035</t>
  </si>
  <si>
    <t>Điện</t>
  </si>
  <si>
    <t>IPC-036</t>
  </si>
  <si>
    <t xml:space="preserve">1 năm 7 tháng 6 ngày </t>
  </si>
  <si>
    <t>IPC-037</t>
  </si>
  <si>
    <t>Công việc sau khi trao đổi vs anh Huy không phù hợp với định hướng mong muốn của bản thân</t>
  </si>
  <si>
    <t xml:space="preserve">1 năm 5 tháng 5 ngày </t>
  </si>
  <si>
    <t>Toán Tin</t>
  </si>
  <si>
    <t>Khương Mai</t>
  </si>
  <si>
    <t>IPC-038</t>
  </si>
  <si>
    <t>Bố mẹ bắt vào làm trong quân đổi, xin sang Viettel làm</t>
  </si>
  <si>
    <t>Khoa học máy tính</t>
  </si>
  <si>
    <t>Hưng Yên</t>
  </si>
  <si>
    <t>IPC-039</t>
  </si>
  <si>
    <t xml:space="preserve">1 năm 4 tháng 21 ngày </t>
  </si>
  <si>
    <t>Đại học Hà Nội</t>
  </si>
  <si>
    <t>Tây Mỗ</t>
  </si>
  <si>
    <t>Nam Từ Liêm</t>
  </si>
  <si>
    <t>IPC-040</t>
  </si>
  <si>
    <t>Sales</t>
  </si>
  <si>
    <t>Vướng công việc gia đình</t>
  </si>
  <si>
    <t xml:space="preserve">1 năm 4 tháng 14 ngày </t>
  </si>
  <si>
    <t>ĐH Kinh Tế Nhật Bản</t>
  </si>
  <si>
    <t>Quản trị kinh doanh</t>
  </si>
  <si>
    <t>IPC-041</t>
  </si>
  <si>
    <t>Định hướng công việc không phù hợp, công iệc chủ yếu thiên về cloud. 
Muốn tập trung vào nghiên cứu viết báo trong qua trình học cao học để 2-3 năm sau đi du học
Cảm thấy công việc thời gian đầu làm không đúng chuyên môn của mình cũng không được oki</t>
  </si>
  <si>
    <t xml:space="preserve">1 năm 3 tháng 14 ngày </t>
  </si>
  <si>
    <t>Điện tử - Viễn thông</t>
  </si>
  <si>
    <t>Hải Dương</t>
  </si>
  <si>
    <t>Cầu Giấy</t>
  </si>
  <si>
    <t>IPC-042</t>
  </si>
  <si>
    <t>Công việc không phù hợp với định hướng</t>
  </si>
  <si>
    <t>Toán - Tin</t>
  </si>
  <si>
    <t>Vĩnh Phúc</t>
  </si>
  <si>
    <t>Trương Định</t>
  </si>
  <si>
    <t>Hai Bà Trưng</t>
  </si>
  <si>
    <t>IPC-043</t>
  </si>
  <si>
    <t>Không phù hợp với định hướng công việc</t>
  </si>
  <si>
    <t xml:space="preserve">1 năm 3 tháng 5 ngày </t>
  </si>
  <si>
    <t>ĐH Công nghiệp Thái Nguyên</t>
  </si>
  <si>
    <t>Điện tự động hóa sư phạm</t>
  </si>
  <si>
    <t>NV-002</t>
  </si>
  <si>
    <t xml:space="preserve">1 năm 3 tháng 0 ngày </t>
  </si>
  <si>
    <t>Học viện kỹ thuật quân sự</t>
  </si>
  <si>
    <t>IPC-044</t>
  </si>
  <si>
    <t xml:space="preserve">1 năm 2 tháng 0 ngày </t>
  </si>
  <si>
    <t>ĐH Điện lực</t>
  </si>
  <si>
    <t>IPC-045</t>
  </si>
  <si>
    <t>Không đồng ý thử việc thêm 1 tháng 
Vướng công việc cá nhân, nằm viện dài sau đó để chữa bệnh</t>
  </si>
  <si>
    <t xml:space="preserve">1 năm 1 tháng 26 ngày </t>
  </si>
  <si>
    <t>IPC-046</t>
  </si>
  <si>
    <t>ĐH Nguyễn Tất Thành</t>
  </si>
  <si>
    <t>Trí tuệ nhân tạo</t>
  </si>
  <si>
    <t>Gia Lai</t>
  </si>
  <si>
    <t>IPC-047</t>
  </si>
  <si>
    <t>Không phù hợp về định hướng công việc, mong muốn được vừa học vừa làm về autotest và vẫn có thể làm tiếp được manutest chứ không muốn chuyển hẳn sang auto vì không đủ thời gian để học và đáp ứng luôn được công việc</t>
  </si>
  <si>
    <t xml:space="preserve">1 năm 1 tháng 25 ngày </t>
  </si>
  <si>
    <t>ĐH Điều dưỡng Nam Định</t>
  </si>
  <si>
    <t>Điều dưỡng đa khoa</t>
  </si>
  <si>
    <t>Hoài Đức</t>
  </si>
  <si>
    <t>IPC-048</t>
  </si>
  <si>
    <t>Sales Support</t>
  </si>
  <si>
    <t xml:space="preserve">1 năm 1 tháng 16 ngày </t>
  </si>
  <si>
    <t>Biên phiên dịch tiếng Nhật</t>
  </si>
  <si>
    <t>Hải Phòng</t>
  </si>
  <si>
    <t>IPC-049</t>
  </si>
  <si>
    <t>University of Marketing and Distribution Sciences</t>
  </si>
  <si>
    <t>IPC-050</t>
  </si>
  <si>
    <t xml:space="preserve">1 năm 0 tháng 29 ngày </t>
  </si>
  <si>
    <t>Điện tử - Viễn Thông</t>
  </si>
  <si>
    <t>IPC-051</t>
  </si>
  <si>
    <t>Công việc không được sử dụng nhiều tiếng nhật, muốn được giao tiếp với khách hàng nhiều hơn. Có định hướng phát triển công việc thêm qua mảng design</t>
  </si>
  <si>
    <t xml:space="preserve">1 năm 0 tháng 22 ngày </t>
  </si>
  <si>
    <t>IPC-052</t>
  </si>
  <si>
    <t>Group lead</t>
  </si>
  <si>
    <t xml:space="preserve">1 năm 0 tháng 15 ngày </t>
  </si>
  <si>
    <t>Cơ khí</t>
  </si>
  <si>
    <t>IPC-053</t>
  </si>
  <si>
    <t>Tập trung vào việc học</t>
  </si>
  <si>
    <t xml:space="preserve">1 năm 0 tháng 14 ngày </t>
  </si>
  <si>
    <t>IPC-054</t>
  </si>
  <si>
    <t xml:space="preserve">1 năm 0 tháng 12 ngày </t>
  </si>
  <si>
    <t>Kỹ thuật điện tử Viễn Thông</t>
  </si>
  <si>
    <t>Kiều Phú</t>
  </si>
  <si>
    <t>IPC-055</t>
  </si>
  <si>
    <t>Nhận được học bổng đi du học</t>
  </si>
  <si>
    <t xml:space="preserve">1 năm 0 tháng 7 ngày </t>
  </si>
  <si>
    <t>Swinburne Vietnam</t>
  </si>
  <si>
    <t>Data Science</t>
  </si>
  <si>
    <t>IPC-056</t>
  </si>
  <si>
    <t xml:space="preserve">0 năm 11 tháng 24 ngày </t>
  </si>
  <si>
    <t>Đại học Mỏ Địa Chất</t>
  </si>
  <si>
    <t>Kỹ Sư</t>
  </si>
  <si>
    <t>IPC-057</t>
  </si>
  <si>
    <t>Tập trung học chứng chỉ để đi du học</t>
  </si>
  <si>
    <t xml:space="preserve">0 năm 11 tháng 17 ngày </t>
  </si>
  <si>
    <t>Đại học Khoa học Tự nhiên - Đại học Quốc gia Hà Nội</t>
  </si>
  <si>
    <t>Khoa học dữ liệu</t>
  </si>
  <si>
    <t>IPC-058</t>
  </si>
  <si>
    <t>Đại học Kinh Tế Kỹ Thuật Công Nghiệp</t>
  </si>
  <si>
    <t>IPC-059</t>
  </si>
  <si>
    <t xml:space="preserve">0 năm 11 tháng 15 ngày </t>
  </si>
  <si>
    <t>Quản trị nhân lực</t>
  </si>
  <si>
    <t>IPC-060</t>
  </si>
  <si>
    <t xml:space="preserve">0 năm 11 tháng 4 ngày </t>
  </si>
  <si>
    <t>Trường Cao Đẳng Điện Tử Kobe</t>
  </si>
  <si>
    <t>Khoa Hoạt Hình 3DCG</t>
  </si>
  <si>
    <t>Hyogo Tokyu Doel Ars Nishiakashi Coast Room 101</t>
  </si>
  <si>
    <t>IPC-061</t>
  </si>
  <si>
    <t>ĐH Ngoại Ngữ - Đại học Huế</t>
  </si>
  <si>
    <t>Ngôn ngữ và văn hóa Nhật Bản</t>
  </si>
  <si>
    <t>IPC-062</t>
  </si>
  <si>
    <t>Hết kỳ thực tập</t>
  </si>
  <si>
    <t xml:space="preserve">0 năm 10 tháng 13 ngày </t>
  </si>
  <si>
    <t>IPC-063</t>
  </si>
  <si>
    <t>Đại học FPT</t>
  </si>
  <si>
    <t>Kỹ thuật phần mềm</t>
  </si>
  <si>
    <t>IPC-064</t>
  </si>
  <si>
    <t>Nhật Bản học</t>
  </si>
  <si>
    <t>IPC-065</t>
  </si>
  <si>
    <t>Không phù hợp với định hướng công việc
Mong muốn tập trung vào nghiên cứu</t>
  </si>
  <si>
    <t>IPC-066</t>
  </si>
  <si>
    <t xml:space="preserve">0 năm 10 tháng 5 ngày </t>
  </si>
  <si>
    <t>Đại học Nguyễn Trãi</t>
  </si>
  <si>
    <t>IPC-067</t>
  </si>
  <si>
    <t xml:space="preserve">Nhận được offer tại techcombak cao hơn
Thích làm trong bank </t>
  </si>
  <si>
    <t>Công nghệ thông tin Việt - Nhật</t>
  </si>
  <si>
    <t>IPC-068</t>
  </si>
  <si>
    <t xml:space="preserve">0 năm 10 tháng 0 ngày </t>
  </si>
  <si>
    <t>Sơn La</t>
  </si>
  <si>
    <t>IPC-069</t>
  </si>
  <si>
    <t xml:space="preserve">Không phù hợp với cách làm việc của bên Nhật, không có quy trình nên yêu cầu của khách hàng thay đổi liên tục. Dự án chưa có định hướng được giải quyết tiếp theo như nào  </t>
  </si>
  <si>
    <t>IPC-070</t>
  </si>
  <si>
    <t xml:space="preserve">0 năm 9 tháng 28 ngày </t>
  </si>
  <si>
    <t>ĐH Công nghiệp Hà Nội</t>
  </si>
  <si>
    <t>Electrical Electronics Engineering</t>
  </si>
  <si>
    <t>IPC-071</t>
  </si>
  <si>
    <t>IPC-072</t>
  </si>
  <si>
    <t>Trường đại học Mở Hà nội</t>
  </si>
  <si>
    <t>IPC-073</t>
  </si>
  <si>
    <t xml:space="preserve">0 năm 9 tháng 16 ngày </t>
  </si>
  <si>
    <t>ĐH Thủy lợi</t>
  </si>
  <si>
    <t>Trí tuệ nhân tạo &amp; Khoa học dữ liệu</t>
  </si>
  <si>
    <t>Xã Ngọc Hồi</t>
  </si>
  <si>
    <t>IPC-074</t>
  </si>
  <si>
    <t xml:space="preserve">0 năm 9 tháng 6 ngày </t>
  </si>
  <si>
    <t>Thương mại điện tử</t>
  </si>
  <si>
    <t>IPC-075</t>
  </si>
  <si>
    <t>Hệ thống thông tin</t>
  </si>
  <si>
    <t>IPC-076</t>
  </si>
  <si>
    <t xml:space="preserve">0 năm 8 tháng 16 ngày </t>
  </si>
  <si>
    <t>Hệ thống thông tin quản lý</t>
  </si>
  <si>
    <t>IPC-077</t>
  </si>
  <si>
    <t xml:space="preserve">0 năm 6 tháng 23 ngày </t>
  </si>
  <si>
    <t>Đại Học FPT</t>
  </si>
  <si>
    <t>Gia Lâm</t>
  </si>
  <si>
    <t>IPC-078</t>
  </si>
  <si>
    <t>Có offer tốt hơn ở công ty khác</t>
  </si>
  <si>
    <t xml:space="preserve">0 năm 6 tháng 9 ngày </t>
  </si>
  <si>
    <t>Xã An Khánh</t>
  </si>
  <si>
    <t>IPC-079</t>
  </si>
  <si>
    <t>IT Helpdesk</t>
  </si>
  <si>
    <t>IT</t>
  </si>
  <si>
    <t xml:space="preserve">IT </t>
  </si>
  <si>
    <t xml:space="preserve">0 năm 5 tháng 6 ngày </t>
  </si>
  <si>
    <t>HUBT</t>
  </si>
  <si>
    <t>IPC-080</t>
  </si>
  <si>
    <t>UEC Tokyo</t>
  </si>
  <si>
    <t>Vĩnh Tuy</t>
  </si>
  <si>
    <t>IPC-081</t>
  </si>
  <si>
    <t>Văn Lang University</t>
  </si>
  <si>
    <t>Software Engineering</t>
  </si>
  <si>
    <t>Tokyo</t>
  </si>
  <si>
    <t>Nhật Bản</t>
  </si>
  <si>
    <t>IPC-082</t>
  </si>
  <si>
    <t xml:space="preserve">0 năm 4 tháng 15 ngày </t>
  </si>
  <si>
    <t>Troy University</t>
  </si>
  <si>
    <t>Computer Science</t>
  </si>
  <si>
    <t>IPC-083</t>
  </si>
  <si>
    <t>Onsite Parttime</t>
  </si>
  <si>
    <t xml:space="preserve">0 năm 4 tháng 13 ngày </t>
  </si>
  <si>
    <t>Mạng máy tính và Truyền thông dữ liệu</t>
  </si>
  <si>
    <t>IPC-084</t>
  </si>
  <si>
    <t>Ngôn ngữ Nhật Bản</t>
  </si>
  <si>
    <t>IPC-085</t>
  </si>
  <si>
    <t xml:space="preserve">0 năm 4 tháng 5 ngày </t>
  </si>
  <si>
    <t>Global ICT</t>
  </si>
  <si>
    <t>Đại Mỗ</t>
  </si>
  <si>
    <t>IPC-086</t>
  </si>
  <si>
    <t xml:space="preserve">0 năm 3 tháng 29 ngày </t>
  </si>
  <si>
    <t>Tiếng Nhật</t>
  </si>
  <si>
    <t>IPC-087</t>
  </si>
  <si>
    <t xml:space="preserve">0 năm 3 tháng 15 ngày </t>
  </si>
  <si>
    <t>ĐH FPT</t>
  </si>
  <si>
    <t>IPC-088</t>
  </si>
  <si>
    <t xml:space="preserve">0 năm 3 tháng 7 ngày </t>
  </si>
  <si>
    <t>IPC-089</t>
  </si>
  <si>
    <t>Kĩ thuật máy tính</t>
  </si>
  <si>
    <t>IPC-090</t>
  </si>
  <si>
    <t xml:space="preserve">0 năm 3 tháng 2 ngày </t>
  </si>
  <si>
    <t>Công nghệ thông tin Việt Nhật</t>
  </si>
  <si>
    <t>IPC-091</t>
  </si>
  <si>
    <t>Không phù hợp với môi trường</t>
  </si>
  <si>
    <t xml:space="preserve">0 năm 3 tháng 1 ngày </t>
  </si>
  <si>
    <t>Đại học Kinh tế Quốc dân</t>
  </si>
  <si>
    <t xml:space="preserve">Khoa học quản lý </t>
  </si>
  <si>
    <t>Nghệ An</t>
  </si>
  <si>
    <t>IPC-092</t>
  </si>
  <si>
    <t xml:space="preserve">0 năm 2 tháng 25 ngày </t>
  </si>
  <si>
    <t>IPC-093</t>
  </si>
  <si>
    <t xml:space="preserve">0 năm 2 tháng 24 ngày </t>
  </si>
  <si>
    <t>IPC-094</t>
  </si>
  <si>
    <t xml:space="preserve">0 năm 2 tháng 17 ngày </t>
  </si>
  <si>
    <t>IPC-095</t>
  </si>
  <si>
    <t>Thanh Hoá</t>
  </si>
  <si>
    <t>PN-000</t>
  </si>
  <si>
    <t xml:space="preserve">0 năm 8 tháng 7 ngày </t>
  </si>
  <si>
    <t>IPC-096</t>
  </si>
  <si>
    <t xml:space="preserve">0 năm 1 tháng 0 ngày </t>
  </si>
  <si>
    <t>IPC-097</t>
  </si>
  <si>
    <t xml:space="preserve">0 năm 0 tháng 7 ngày </t>
  </si>
  <si>
    <t>Không</t>
  </si>
  <si>
    <t>Lạng Sơn</t>
  </si>
  <si>
    <t>IPC-098</t>
  </si>
  <si>
    <t xml:space="preserve">0 năm 0 tháng 5 ngày </t>
  </si>
  <si>
    <t>Thượng Đình</t>
  </si>
  <si>
    <t>IPC-099</t>
  </si>
  <si>
    <t>Vĩnh Thành</t>
  </si>
  <si>
    <t>Từ Liêm</t>
  </si>
  <si>
    <t>Đại học Kinh tế - ĐHQGHà Nội</t>
  </si>
  <si>
    <t>Đại học Việt Nhật - ĐHQGHà Nội</t>
  </si>
  <si>
    <t>Multimedia TecHà Nộiology</t>
  </si>
  <si>
    <t>ĐH Công nghệ - ĐHQGHà Nội</t>
  </si>
  <si>
    <t>Đại học Ngoại ngữ - ĐHQGHà Nội</t>
  </si>
  <si>
    <t>ĐH Khoa học Tự nhiên - ĐHQGHà Nội</t>
  </si>
  <si>
    <t>TP Hồ Chí Minh</t>
  </si>
  <si>
    <t>Đại Học Công Nghệ Thông Tin - ĐHQG TP TP Hồ Chí Minh</t>
  </si>
  <si>
    <t xml:space="preserve"> Thanh Xuân</t>
  </si>
  <si>
    <t xml:space="preserve"> Khương Trung</t>
  </si>
  <si>
    <t xml:space="preserve"> Phương Mai</t>
  </si>
  <si>
    <t xml:space="preserve"> Khương Đình</t>
  </si>
  <si>
    <t xml:space="preserve"> Định Công</t>
  </si>
  <si>
    <t xml:space="preserve"> Bạch Mai</t>
  </si>
  <si>
    <t xml:space="preserve"> Từ Liêm</t>
  </si>
  <si>
    <t xml:space="preserve"> Cửa Nam</t>
  </si>
  <si>
    <t xml:space="preserve"> Tương Mai</t>
  </si>
  <si>
    <t>Technology Innovation</t>
  </si>
  <si>
    <t>ĐH Bách khoa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</si>
</sst>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
  </numFmts>
  <fonts count="3" x14ac:knownFonts="1">
    <font>
      <sz val="11"/>
      <color theme="1"/>
      <name val="Calibri"/>
      <family val="2"/>
      <scheme val="minor"/>
    </font>
    <font>
      <b/>
      <sz val="1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164" fontId="1" fillId="0" borderId="1" xfId="0" applyNumberFormat="1" applyFont="1" applyBorder="1" applyAlignment="1">
      <alignment horizontal="center" vertical="top"/>
    </xf>
    <xf numFmtId="164" fontId="2" fillId="0" borderId="0" xfId="0" applyNumberFormat="1" applyFont="1"/>
    <xf numFmtId="165" fontId="1" fillId="0" borderId="1" xfId="0" applyNumberFormat="1" applyFont="1" applyBorder="1" applyAlignment="1">
      <alignment horizontal="center" vertical="top"/>
    </xf>
    <xf numFmtId="165"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topLeftCell="AC58" workbookViewId="0">
      <selection activeCell="AK68" sqref="AK68"/>
    </sheetView>
  </sheetViews>
  <sheetFormatPr baseColWidth="10" defaultColWidth="8.83203125" defaultRowHeight="14" x14ac:dyDescent="0.15"/>
  <cols>
    <col min="1" max="1" width="7.1640625" style="2" bestFit="1" customWidth="1"/>
    <col min="2" max="2" width="10.6640625" style="2" bestFit="1" customWidth="1"/>
    <col min="3" max="3" width="15.33203125" style="2" bestFit="1" customWidth="1"/>
    <col min="4" max="4" width="18.1640625" style="4" bestFit="1" customWidth="1"/>
    <col min="5" max="5" width="11.33203125" style="2" bestFit="1" customWidth="1"/>
    <col min="6" max="6" width="9.1640625" style="2" bestFit="1" customWidth="1"/>
    <col min="7" max="7" width="13.6640625" style="2" bestFit="1" customWidth="1"/>
    <col min="8" max="8" width="7.6640625" style="2" bestFit="1" customWidth="1"/>
    <col min="9" max="9" width="12.5" style="2" bestFit="1" customWidth="1"/>
    <col min="10" max="10" width="18.6640625" style="2" bestFit="1" customWidth="1"/>
    <col min="11" max="11" width="17.83203125" style="2" bestFit="1" customWidth="1"/>
    <col min="12" max="12" width="18.1640625" style="4" bestFit="1" customWidth="1"/>
    <col min="13" max="13" width="19.6640625" style="4" bestFit="1" customWidth="1"/>
    <col min="14" max="14" width="32.5" style="2" customWidth="1"/>
    <col min="15" max="15" width="12.33203125" style="2" bestFit="1" customWidth="1"/>
    <col min="16" max="16" width="19.6640625" style="2" bestFit="1" customWidth="1"/>
    <col min="17" max="17" width="9" style="2" bestFit="1" customWidth="1"/>
    <col min="18" max="18" width="17.83203125" style="2" bestFit="1" customWidth="1"/>
    <col min="19" max="19" width="18.5" style="4" bestFit="1" customWidth="1"/>
    <col min="20" max="20" width="18.1640625" style="4" bestFit="1" customWidth="1"/>
    <col min="21" max="21" width="16.1640625" style="2" bestFit="1" customWidth="1"/>
    <col min="22" max="30" width="18.5" style="4" bestFit="1" customWidth="1"/>
    <col min="31" max="31" width="4.6640625" style="2" bestFit="1" customWidth="1"/>
    <col min="32" max="32" width="7.83203125" style="2" bestFit="1" customWidth="1"/>
    <col min="33" max="34" width="8.5" style="2" bestFit="1" customWidth="1"/>
    <col min="35" max="35" width="16.83203125" style="2" bestFit="1" customWidth="1"/>
    <col min="36" max="36" width="13.83203125" style="2" bestFit="1" customWidth="1"/>
    <col min="37" max="37" width="41.1640625" style="2" bestFit="1" customWidth="1"/>
    <col min="38" max="38" width="31" style="2" bestFit="1" customWidth="1"/>
    <col min="39" max="39" width="18.1640625" style="6" bestFit="1" customWidth="1"/>
    <col min="40" max="40" width="15" style="2" customWidth="1"/>
    <col min="41" max="41" width="19" style="2" bestFit="1" customWidth="1"/>
    <col min="42" max="16384" width="8.83203125" style="2"/>
  </cols>
  <sheetData>
    <row r="1" spans="1:41" x14ac:dyDescent="0.15">
      <c r="A1" s="1" t="s">
        <v>0</v>
      </c>
      <c r="B1" s="1" t="s">
        <v>1</v>
      </c>
      <c r="C1" s="1" t="s">
        <v>2</v>
      </c>
      <c r="D1" s="3" t="s">
        <v>3</v>
      </c>
      <c r="E1" s="1" t="s">
        <v>4</v>
      </c>
      <c r="F1" s="1" t="s">
        <v>5</v>
      </c>
      <c r="G1" s="1" t="s">
        <v>6</v>
      </c>
      <c r="H1" s="1" t="s">
        <v>7</v>
      </c>
      <c r="I1" s="1" t="s">
        <v>8</v>
      </c>
      <c r="J1" s="1" t="s">
        <v>9</v>
      </c>
      <c r="K1" s="1" t="s">
        <v>10</v>
      </c>
      <c r="L1" s="3" t="s">
        <v>11</v>
      </c>
      <c r="M1" s="3" t="s">
        <v>12</v>
      </c>
      <c r="N1" s="1" t="s">
        <v>13</v>
      </c>
      <c r="O1" s="1" t="s">
        <v>14</v>
      </c>
      <c r="P1" s="1" t="s">
        <v>15</v>
      </c>
      <c r="Q1" s="1" t="s">
        <v>16</v>
      </c>
      <c r="R1" s="1" t="s">
        <v>17</v>
      </c>
      <c r="S1" s="3" t="s">
        <v>18</v>
      </c>
      <c r="T1" s="3" t="s">
        <v>19</v>
      </c>
      <c r="U1" s="1" t="s">
        <v>20</v>
      </c>
      <c r="V1" s="3" t="s">
        <v>21</v>
      </c>
      <c r="W1" s="3" t="s">
        <v>22</v>
      </c>
      <c r="X1" s="3" t="s">
        <v>23</v>
      </c>
      <c r="Y1" s="3" t="s">
        <v>24</v>
      </c>
      <c r="Z1" s="3" t="s">
        <v>25</v>
      </c>
      <c r="AA1" s="3" t="s">
        <v>26</v>
      </c>
      <c r="AB1" s="3" t="s">
        <v>27</v>
      </c>
      <c r="AC1" s="3" t="s">
        <v>28</v>
      </c>
      <c r="AD1" s="3" t="s">
        <v>29</v>
      </c>
      <c r="AE1" s="1" t="s">
        <v>30</v>
      </c>
      <c r="AF1" s="1" t="s">
        <v>31</v>
      </c>
      <c r="AG1" s="1" t="s">
        <v>32</v>
      </c>
      <c r="AH1" s="1" t="s">
        <v>33</v>
      </c>
      <c r="AI1" s="1" t="s">
        <v>36</v>
      </c>
      <c r="AJ1" s="1" t="s">
        <v>37</v>
      </c>
      <c r="AK1" s="1" t="s">
        <v>38</v>
      </c>
      <c r="AL1" s="1" t="s">
        <v>39</v>
      </c>
      <c r="AM1" s="5" t="s">
        <v>40</v>
      </c>
      <c r="AN1" s="1" t="s">
        <v>34</v>
      </c>
      <c r="AO1" s="1" t="s">
        <v>35</v>
      </c>
    </row>
    <row r="2" spans="1:41" x14ac:dyDescent="0.15">
      <c r="A2" s="2" t="s">
        <v>41</v>
      </c>
      <c r="B2" s="2" t="s">
        <v>42</v>
      </c>
      <c r="C2" s="2" t="s">
        <v>43</v>
      </c>
      <c r="D2" s="4">
        <v>30639</v>
      </c>
      <c r="E2" s="2" t="s">
        <v>44</v>
      </c>
      <c r="G2" s="2" t="s">
        <v>45</v>
      </c>
      <c r="H2" s="2" t="s">
        <v>46</v>
      </c>
      <c r="J2" s="2" t="s">
        <v>47</v>
      </c>
      <c r="L2" s="4">
        <v>45086</v>
      </c>
      <c r="O2" s="2">
        <v>3</v>
      </c>
      <c r="P2" s="2" t="s">
        <v>48</v>
      </c>
      <c r="Q2" s="2" t="s">
        <v>49</v>
      </c>
      <c r="R2" s="2" t="s">
        <v>50</v>
      </c>
      <c r="S2" s="4">
        <v>45175</v>
      </c>
      <c r="AD2" s="4">
        <v>45175</v>
      </c>
      <c r="AE2" s="2">
        <v>43</v>
      </c>
      <c r="AF2" s="2" t="s">
        <v>51</v>
      </c>
      <c r="AG2" s="2" t="s">
        <v>52</v>
      </c>
      <c r="AH2" s="2" t="s">
        <v>53</v>
      </c>
      <c r="AI2" s="2" t="s">
        <v>54</v>
      </c>
      <c r="AJ2" s="2" t="s">
        <v>55</v>
      </c>
      <c r="AM2" s="6">
        <f>MONTH(D2)</f>
        <v>11</v>
      </c>
    </row>
    <row r="3" spans="1:41" x14ac:dyDescent="0.15">
      <c r="A3" s="2" t="s">
        <v>56</v>
      </c>
      <c r="B3" s="2" t="s">
        <v>42</v>
      </c>
      <c r="C3" s="2" t="s">
        <v>57</v>
      </c>
      <c r="D3" s="4">
        <v>32567</v>
      </c>
      <c r="E3" s="2" t="s">
        <v>58</v>
      </c>
      <c r="F3" s="2" t="s">
        <v>59</v>
      </c>
      <c r="G3" s="2" t="s">
        <v>60</v>
      </c>
      <c r="H3" s="2" t="s">
        <v>61</v>
      </c>
      <c r="I3" s="2" t="s">
        <v>59</v>
      </c>
      <c r="J3" s="2" t="s">
        <v>62</v>
      </c>
      <c r="K3" s="2" t="s">
        <v>63</v>
      </c>
      <c r="L3" s="4">
        <v>45086</v>
      </c>
      <c r="O3" s="2">
        <v>3</v>
      </c>
      <c r="P3" s="2" t="s">
        <v>48</v>
      </c>
      <c r="Q3" s="2" t="s">
        <v>49</v>
      </c>
      <c r="R3" s="2" t="s">
        <v>50</v>
      </c>
      <c r="S3" s="4">
        <v>45175</v>
      </c>
      <c r="AD3" s="4">
        <v>45175</v>
      </c>
      <c r="AE3" s="2">
        <v>37</v>
      </c>
      <c r="AF3" s="2" t="s">
        <v>64</v>
      </c>
      <c r="AG3" s="2" t="s">
        <v>52</v>
      </c>
      <c r="AH3" s="2" t="s">
        <v>53</v>
      </c>
      <c r="AI3" s="2" t="s">
        <v>54</v>
      </c>
      <c r="AJ3" s="2" t="s">
        <v>55</v>
      </c>
      <c r="AM3" s="6">
        <f t="shared" ref="AM3:AM64" si="0">MONTH(D3)</f>
        <v>2</v>
      </c>
    </row>
    <row r="4" spans="1:41" x14ac:dyDescent="0.15">
      <c r="A4" s="2" t="s">
        <v>65</v>
      </c>
      <c r="B4" s="2" t="s">
        <v>42</v>
      </c>
      <c r="C4" s="2" t="s">
        <v>43</v>
      </c>
      <c r="D4" s="4">
        <v>30338</v>
      </c>
      <c r="E4" s="2" t="s">
        <v>66</v>
      </c>
      <c r="G4" s="2" t="s">
        <v>67</v>
      </c>
      <c r="H4" s="2" t="s">
        <v>67</v>
      </c>
      <c r="J4" s="2" t="s">
        <v>68</v>
      </c>
      <c r="K4" s="2" t="s">
        <v>63</v>
      </c>
      <c r="L4" s="4">
        <v>45139</v>
      </c>
      <c r="O4" s="2">
        <v>2.916666666666667</v>
      </c>
      <c r="P4" s="2" t="s">
        <v>69</v>
      </c>
      <c r="Q4" s="2" t="s">
        <v>49</v>
      </c>
      <c r="R4" s="2" t="s">
        <v>50</v>
      </c>
      <c r="S4" s="4">
        <v>46234</v>
      </c>
      <c r="Z4" s="4">
        <v>45139</v>
      </c>
      <c r="AA4" s="4">
        <v>45504</v>
      </c>
      <c r="AB4" s="4">
        <v>45505</v>
      </c>
      <c r="AC4" s="4">
        <v>45869</v>
      </c>
      <c r="AD4" s="4">
        <v>46234</v>
      </c>
      <c r="AE4" s="2">
        <v>43</v>
      </c>
      <c r="AF4" s="2" t="s">
        <v>64</v>
      </c>
      <c r="AG4" s="2" t="s">
        <v>52</v>
      </c>
      <c r="AH4" s="2" t="s">
        <v>53</v>
      </c>
      <c r="AI4" s="2" t="s">
        <v>54</v>
      </c>
      <c r="AJ4" s="2" t="s">
        <v>55</v>
      </c>
      <c r="AL4" s="2" t="s">
        <v>70</v>
      </c>
      <c r="AM4" s="6">
        <f t="shared" si="0"/>
        <v>1</v>
      </c>
      <c r="AN4" s="2" t="s">
        <v>72</v>
      </c>
      <c r="AO4" s="2" t="s">
        <v>71</v>
      </c>
    </row>
    <row r="5" spans="1:41" x14ac:dyDescent="0.15">
      <c r="A5" s="2" t="s">
        <v>73</v>
      </c>
      <c r="B5" s="2" t="s">
        <v>42</v>
      </c>
      <c r="C5" s="2" t="s">
        <v>57</v>
      </c>
      <c r="D5" s="4">
        <v>36377</v>
      </c>
      <c r="E5" s="2" t="s">
        <v>74</v>
      </c>
      <c r="F5" s="2" t="s">
        <v>75</v>
      </c>
      <c r="G5" s="2" t="s">
        <v>60</v>
      </c>
      <c r="H5" s="2" t="s">
        <v>76</v>
      </c>
      <c r="I5" s="2" t="s">
        <v>77</v>
      </c>
      <c r="J5" s="2" t="s">
        <v>78</v>
      </c>
      <c r="K5" s="2" t="s">
        <v>79</v>
      </c>
      <c r="L5" s="4">
        <v>45092</v>
      </c>
      <c r="O5" s="2">
        <v>3</v>
      </c>
      <c r="P5" s="2" t="s">
        <v>80</v>
      </c>
      <c r="Q5" s="2" t="s">
        <v>49</v>
      </c>
      <c r="R5" s="2" t="s">
        <v>50</v>
      </c>
      <c r="S5" s="4">
        <v>46188</v>
      </c>
      <c r="Z5" s="4">
        <v>45092</v>
      </c>
      <c r="AA5" s="4">
        <v>45457</v>
      </c>
      <c r="AB5" s="4">
        <v>45458</v>
      </c>
      <c r="AC5" s="4">
        <v>45822</v>
      </c>
      <c r="AD5" s="4">
        <v>46188</v>
      </c>
      <c r="AE5" s="2">
        <v>27</v>
      </c>
      <c r="AF5" s="2" t="s">
        <v>51</v>
      </c>
      <c r="AG5" s="2" t="s">
        <v>52</v>
      </c>
      <c r="AH5" s="2" t="s">
        <v>53</v>
      </c>
      <c r="AI5" s="2" t="s">
        <v>81</v>
      </c>
      <c r="AJ5" s="2" t="s">
        <v>55</v>
      </c>
      <c r="AM5" s="6">
        <f t="shared" si="0"/>
        <v>8</v>
      </c>
      <c r="AN5" s="2" t="s">
        <v>82</v>
      </c>
      <c r="AO5" s="2" t="s">
        <v>83</v>
      </c>
    </row>
    <row r="6" spans="1:41" x14ac:dyDescent="0.15">
      <c r="A6" s="2" t="s">
        <v>84</v>
      </c>
      <c r="B6" s="2" t="s">
        <v>42</v>
      </c>
      <c r="C6" s="2" t="s">
        <v>43</v>
      </c>
      <c r="D6" s="4">
        <v>34395</v>
      </c>
      <c r="E6" s="2" t="s">
        <v>85</v>
      </c>
      <c r="F6" s="2" t="s">
        <v>86</v>
      </c>
      <c r="G6" s="2" t="s">
        <v>87</v>
      </c>
      <c r="H6" s="2" t="s">
        <v>46</v>
      </c>
      <c r="J6" s="2" t="s">
        <v>78</v>
      </c>
      <c r="K6" s="2" t="s">
        <v>79</v>
      </c>
      <c r="L6" s="4">
        <v>45086</v>
      </c>
      <c r="O6" s="2">
        <v>3</v>
      </c>
      <c r="P6" s="2" t="s">
        <v>48</v>
      </c>
      <c r="Q6" s="2" t="s">
        <v>49</v>
      </c>
      <c r="R6" s="2" t="s">
        <v>50</v>
      </c>
      <c r="S6" s="4">
        <v>46188</v>
      </c>
      <c r="Z6" s="4">
        <v>45086</v>
      </c>
      <c r="AA6" s="4">
        <v>45451</v>
      </c>
      <c r="AB6" s="4">
        <v>45458</v>
      </c>
      <c r="AC6" s="4">
        <v>45822</v>
      </c>
      <c r="AD6" s="4">
        <v>46188</v>
      </c>
      <c r="AE6" s="2">
        <v>32</v>
      </c>
      <c r="AF6" s="2" t="s">
        <v>51</v>
      </c>
      <c r="AG6" s="2" t="s">
        <v>52</v>
      </c>
      <c r="AH6" s="2" t="s">
        <v>53</v>
      </c>
      <c r="AI6" s="2" t="s">
        <v>54</v>
      </c>
      <c r="AJ6" s="2" t="s">
        <v>55</v>
      </c>
      <c r="AM6" s="6">
        <f t="shared" si="0"/>
        <v>3</v>
      </c>
      <c r="AN6" s="2" t="s">
        <v>72</v>
      </c>
    </row>
    <row r="7" spans="1:41" x14ac:dyDescent="0.15">
      <c r="A7" s="2" t="s">
        <v>89</v>
      </c>
      <c r="B7" s="2" t="s">
        <v>42</v>
      </c>
      <c r="C7" s="2" t="s">
        <v>57</v>
      </c>
      <c r="D7" s="4">
        <v>36984</v>
      </c>
      <c r="E7" s="2" t="s">
        <v>74</v>
      </c>
      <c r="F7" s="2" t="s">
        <v>90</v>
      </c>
      <c r="G7" s="2" t="s">
        <v>60</v>
      </c>
      <c r="H7" s="2" t="s">
        <v>61</v>
      </c>
      <c r="J7" s="2" t="s">
        <v>91</v>
      </c>
      <c r="L7" s="4">
        <v>45092</v>
      </c>
      <c r="M7" s="4">
        <v>46038</v>
      </c>
      <c r="N7" s="2" t="s">
        <v>92</v>
      </c>
      <c r="O7" s="2">
        <v>2.583333333333333</v>
      </c>
      <c r="P7" s="2" t="s">
        <v>80</v>
      </c>
      <c r="Q7" s="2" t="s">
        <v>93</v>
      </c>
      <c r="R7" s="2" t="s">
        <v>50</v>
      </c>
      <c r="S7" s="4">
        <v>46218</v>
      </c>
      <c r="X7" s="4">
        <v>45092</v>
      </c>
      <c r="Y7" s="4">
        <v>45121</v>
      </c>
      <c r="Z7" s="4">
        <v>45122</v>
      </c>
      <c r="AA7" s="4">
        <v>45487</v>
      </c>
      <c r="AB7" s="4">
        <v>45488</v>
      </c>
      <c r="AC7" s="4">
        <v>45852</v>
      </c>
      <c r="AD7" s="4">
        <v>46218</v>
      </c>
      <c r="AE7" s="2">
        <v>25</v>
      </c>
      <c r="AF7" s="2" t="s">
        <v>51</v>
      </c>
      <c r="AG7" s="2" t="s">
        <v>52</v>
      </c>
      <c r="AH7" s="2" t="s">
        <v>53</v>
      </c>
      <c r="AI7" s="2" t="s">
        <v>81</v>
      </c>
      <c r="AJ7" s="2" t="s">
        <v>55</v>
      </c>
      <c r="AM7" s="6">
        <f t="shared" si="0"/>
        <v>4</v>
      </c>
      <c r="AN7" s="2" t="s">
        <v>94</v>
      </c>
    </row>
    <row r="8" spans="1:41" x14ac:dyDescent="0.15">
      <c r="A8" s="2" t="s">
        <v>95</v>
      </c>
      <c r="B8" s="2" t="s">
        <v>42</v>
      </c>
      <c r="C8" s="2" t="s">
        <v>96</v>
      </c>
      <c r="D8" s="4">
        <v>35992</v>
      </c>
      <c r="E8" s="2" t="s">
        <v>74</v>
      </c>
      <c r="G8" s="2" t="s">
        <v>60</v>
      </c>
      <c r="J8" s="2" t="s">
        <v>91</v>
      </c>
      <c r="L8" s="4">
        <v>45096</v>
      </c>
      <c r="M8" s="4">
        <v>45412</v>
      </c>
      <c r="O8" s="2">
        <v>0.83333333333333337</v>
      </c>
      <c r="P8" s="2" t="s">
        <v>97</v>
      </c>
      <c r="Q8" s="2" t="s">
        <v>93</v>
      </c>
      <c r="R8" s="2" t="s">
        <v>98</v>
      </c>
      <c r="S8" s="4">
        <v>45157</v>
      </c>
      <c r="T8" s="4">
        <v>45522</v>
      </c>
      <c r="X8" s="4">
        <v>45096</v>
      </c>
      <c r="Y8" s="4">
        <v>45156</v>
      </c>
      <c r="Z8" s="4">
        <v>45157</v>
      </c>
      <c r="AA8" s="4">
        <v>45522</v>
      </c>
      <c r="AE8" s="2">
        <v>28</v>
      </c>
      <c r="AF8" s="2" t="s">
        <v>51</v>
      </c>
      <c r="AG8" s="2" t="s">
        <v>52</v>
      </c>
      <c r="AH8" s="2" t="s">
        <v>53</v>
      </c>
      <c r="AI8" s="2" t="s">
        <v>81</v>
      </c>
      <c r="AJ8" s="2" t="s">
        <v>55</v>
      </c>
      <c r="AM8" s="6">
        <f t="shared" si="0"/>
        <v>7</v>
      </c>
      <c r="AN8" s="2" t="s">
        <v>99</v>
      </c>
    </row>
    <row r="9" spans="1:41" x14ac:dyDescent="0.15">
      <c r="A9" s="2" t="s">
        <v>100</v>
      </c>
      <c r="B9" s="2" t="s">
        <v>42</v>
      </c>
      <c r="C9" s="2" t="s">
        <v>96</v>
      </c>
      <c r="D9" s="4">
        <v>32796</v>
      </c>
      <c r="E9" s="2" t="s">
        <v>74</v>
      </c>
      <c r="F9" s="2" t="s">
        <v>90</v>
      </c>
      <c r="G9" s="2" t="s">
        <v>60</v>
      </c>
      <c r="J9" s="2" t="s">
        <v>91</v>
      </c>
      <c r="L9" s="4">
        <v>45096</v>
      </c>
      <c r="M9" s="4">
        <v>45108</v>
      </c>
      <c r="O9" s="2">
        <v>0</v>
      </c>
      <c r="P9" s="2" t="s">
        <v>97</v>
      </c>
      <c r="Q9" s="2" t="s">
        <v>93</v>
      </c>
      <c r="R9" s="2" t="s">
        <v>101</v>
      </c>
      <c r="S9" s="4">
        <v>45096</v>
      </c>
      <c r="T9" s="4">
        <v>45156</v>
      </c>
      <c r="X9" s="4">
        <v>45096</v>
      </c>
      <c r="Y9" s="4">
        <v>45156</v>
      </c>
      <c r="AE9" s="2">
        <v>37</v>
      </c>
      <c r="AF9" s="2" t="s">
        <v>51</v>
      </c>
      <c r="AG9" s="2" t="s">
        <v>52</v>
      </c>
      <c r="AH9" s="2" t="s">
        <v>53</v>
      </c>
      <c r="AI9" s="2" t="s">
        <v>81</v>
      </c>
      <c r="AJ9" s="2" t="s">
        <v>55</v>
      </c>
      <c r="AM9" s="6">
        <f t="shared" si="0"/>
        <v>10</v>
      </c>
      <c r="AO9" s="2" t="s">
        <v>238</v>
      </c>
    </row>
    <row r="10" spans="1:41" x14ac:dyDescent="0.15">
      <c r="A10" s="2" t="s">
        <v>102</v>
      </c>
      <c r="B10" s="2" t="s">
        <v>42</v>
      </c>
      <c r="C10" s="2" t="s">
        <v>43</v>
      </c>
      <c r="D10" s="4">
        <v>37457</v>
      </c>
      <c r="E10" s="2" t="s">
        <v>74</v>
      </c>
      <c r="F10" s="2" t="s">
        <v>103</v>
      </c>
      <c r="G10" s="2" t="s">
        <v>60</v>
      </c>
      <c r="H10" s="2" t="s">
        <v>104</v>
      </c>
      <c r="J10" s="2" t="s">
        <v>467</v>
      </c>
      <c r="K10" s="2" t="s">
        <v>79</v>
      </c>
      <c r="L10" s="4">
        <v>45139</v>
      </c>
      <c r="O10" s="2">
        <v>2.916666666666667</v>
      </c>
      <c r="P10" s="2" t="s">
        <v>69</v>
      </c>
      <c r="Q10" s="2" t="s">
        <v>49</v>
      </c>
      <c r="R10" s="2" t="s">
        <v>105</v>
      </c>
      <c r="S10" s="4">
        <v>45566</v>
      </c>
      <c r="T10" s="4">
        <v>46295</v>
      </c>
      <c r="U10" s="2">
        <v>24</v>
      </c>
      <c r="X10" s="4">
        <v>45139</v>
      </c>
      <c r="Y10" s="4">
        <v>45199</v>
      </c>
      <c r="Z10" s="4">
        <v>45200</v>
      </c>
      <c r="AA10" s="4">
        <v>45565</v>
      </c>
      <c r="AB10" s="4">
        <v>45566</v>
      </c>
      <c r="AC10" s="4">
        <v>46295</v>
      </c>
      <c r="AE10" s="2">
        <v>24</v>
      </c>
      <c r="AF10" s="2" t="s">
        <v>51</v>
      </c>
      <c r="AG10" s="2" t="s">
        <v>52</v>
      </c>
      <c r="AH10" s="2" t="s">
        <v>53</v>
      </c>
      <c r="AI10" s="2" t="s">
        <v>81</v>
      </c>
      <c r="AJ10" s="2" t="s">
        <v>55</v>
      </c>
      <c r="AM10" s="6">
        <f t="shared" si="0"/>
        <v>7</v>
      </c>
      <c r="AN10" s="2" t="s">
        <v>107</v>
      </c>
    </row>
    <row r="11" spans="1:41" x14ac:dyDescent="0.15">
      <c r="A11" s="2" t="s">
        <v>108</v>
      </c>
      <c r="B11" s="2" t="s">
        <v>42</v>
      </c>
      <c r="C11" s="2" t="s">
        <v>57</v>
      </c>
      <c r="D11" s="4">
        <v>35086</v>
      </c>
      <c r="E11" s="2" t="s">
        <v>74</v>
      </c>
      <c r="F11" s="2" t="s">
        <v>109</v>
      </c>
      <c r="G11" s="2" t="s">
        <v>60</v>
      </c>
      <c r="H11" s="2" t="s">
        <v>76</v>
      </c>
      <c r="I11" s="2" t="s">
        <v>110</v>
      </c>
      <c r="J11" s="2" t="s">
        <v>78</v>
      </c>
      <c r="K11" s="2" t="s">
        <v>79</v>
      </c>
      <c r="L11" s="4">
        <v>45139</v>
      </c>
      <c r="O11" s="2">
        <v>2.916666666666667</v>
      </c>
      <c r="P11" s="2" t="s">
        <v>69</v>
      </c>
      <c r="Q11" s="2" t="s">
        <v>49</v>
      </c>
      <c r="R11" s="2" t="s">
        <v>105</v>
      </c>
      <c r="S11" s="4">
        <v>45566</v>
      </c>
      <c r="T11" s="4">
        <v>46295</v>
      </c>
      <c r="U11" s="2">
        <v>24</v>
      </c>
      <c r="X11" s="4">
        <v>45139</v>
      </c>
      <c r="Y11" s="4">
        <v>45199</v>
      </c>
      <c r="Z11" s="4">
        <v>45200</v>
      </c>
      <c r="AA11" s="4">
        <v>45565</v>
      </c>
      <c r="AB11" s="4">
        <v>45566</v>
      </c>
      <c r="AC11" s="4">
        <v>46295</v>
      </c>
      <c r="AE11" s="2">
        <v>30</v>
      </c>
      <c r="AF11" s="2" t="s">
        <v>51</v>
      </c>
      <c r="AG11" s="2" t="s">
        <v>52</v>
      </c>
      <c r="AH11" s="2" t="s">
        <v>53</v>
      </c>
      <c r="AI11" s="2" t="s">
        <v>81</v>
      </c>
      <c r="AJ11" s="2" t="s">
        <v>55</v>
      </c>
      <c r="AK11" s="2" t="s">
        <v>111</v>
      </c>
      <c r="AM11" s="6">
        <f t="shared" si="0"/>
        <v>1</v>
      </c>
      <c r="AN11" s="2" t="s">
        <v>72</v>
      </c>
      <c r="AO11" s="2" t="s">
        <v>112</v>
      </c>
    </row>
    <row r="12" spans="1:41" x14ac:dyDescent="0.15">
      <c r="A12" s="2" t="s">
        <v>113</v>
      </c>
      <c r="B12" s="2" t="s">
        <v>42</v>
      </c>
      <c r="C12" s="2" t="s">
        <v>43</v>
      </c>
      <c r="D12" s="4">
        <v>35472</v>
      </c>
      <c r="E12" s="2" t="s">
        <v>74</v>
      </c>
      <c r="F12" s="2" t="s">
        <v>103</v>
      </c>
      <c r="G12" s="2" t="s">
        <v>60</v>
      </c>
      <c r="H12" s="2" t="s">
        <v>76</v>
      </c>
      <c r="I12" s="2" t="s">
        <v>114</v>
      </c>
      <c r="J12" s="2" t="s">
        <v>78</v>
      </c>
      <c r="K12" s="2" t="s">
        <v>79</v>
      </c>
      <c r="L12" s="4">
        <v>45187</v>
      </c>
      <c r="O12" s="2">
        <v>2.75</v>
      </c>
      <c r="P12" s="2" t="s">
        <v>115</v>
      </c>
      <c r="Q12" s="2" t="s">
        <v>49</v>
      </c>
      <c r="R12" s="2" t="s">
        <v>105</v>
      </c>
      <c r="S12" s="4">
        <v>45614</v>
      </c>
      <c r="T12" s="4">
        <v>46343</v>
      </c>
      <c r="U12" s="2">
        <v>24</v>
      </c>
      <c r="X12" s="4">
        <v>45187</v>
      </c>
      <c r="Y12" s="4">
        <v>45247</v>
      </c>
      <c r="Z12" s="4">
        <v>45248</v>
      </c>
      <c r="AA12" s="4">
        <v>45613</v>
      </c>
      <c r="AB12" s="4">
        <v>45614</v>
      </c>
      <c r="AC12" s="4">
        <v>46343</v>
      </c>
      <c r="AE12" s="2">
        <v>29</v>
      </c>
      <c r="AF12" s="2" t="s">
        <v>51</v>
      </c>
      <c r="AG12" s="2" t="s">
        <v>52</v>
      </c>
      <c r="AH12" s="2" t="s">
        <v>53</v>
      </c>
      <c r="AI12" s="2" t="s">
        <v>81</v>
      </c>
      <c r="AJ12" s="2" t="s">
        <v>55</v>
      </c>
      <c r="AK12" s="2" t="s">
        <v>468</v>
      </c>
      <c r="AM12" s="6">
        <f t="shared" si="0"/>
        <v>2</v>
      </c>
      <c r="AN12" s="2" t="s">
        <v>72</v>
      </c>
      <c r="AO12" s="2" t="s">
        <v>116</v>
      </c>
    </row>
    <row r="13" spans="1:41" x14ac:dyDescent="0.15">
      <c r="A13" s="2" t="s">
        <v>120</v>
      </c>
      <c r="B13" s="2" t="s">
        <v>42</v>
      </c>
      <c r="C13" s="2" t="s">
        <v>96</v>
      </c>
      <c r="D13" s="4">
        <v>33388</v>
      </c>
      <c r="E13" s="2" t="s">
        <v>121</v>
      </c>
      <c r="G13" s="2" t="s">
        <v>60</v>
      </c>
      <c r="M13" s="4">
        <v>45443</v>
      </c>
      <c r="O13" s="2">
        <v>124.3333333333333</v>
      </c>
      <c r="P13" s="2" t="s">
        <v>119</v>
      </c>
      <c r="Q13" s="2" t="s">
        <v>93</v>
      </c>
      <c r="R13" s="2" t="b">
        <v>0</v>
      </c>
      <c r="AE13" s="2">
        <v>35</v>
      </c>
      <c r="AF13" s="2" t="s">
        <v>51</v>
      </c>
      <c r="AG13" s="2" t="s">
        <v>52</v>
      </c>
      <c r="AH13" s="2" t="s">
        <v>53</v>
      </c>
      <c r="AI13" s="2" t="s">
        <v>81</v>
      </c>
      <c r="AJ13" s="2" t="s">
        <v>55</v>
      </c>
      <c r="AM13" s="6">
        <f t="shared" si="0"/>
        <v>5</v>
      </c>
    </row>
    <row r="14" spans="1:41" x14ac:dyDescent="0.15">
      <c r="A14" s="2" t="s">
        <v>122</v>
      </c>
      <c r="B14" s="2" t="s">
        <v>42</v>
      </c>
      <c r="C14" s="2" t="s">
        <v>96</v>
      </c>
      <c r="D14" s="4">
        <v>37676</v>
      </c>
      <c r="E14" s="2" t="s">
        <v>74</v>
      </c>
      <c r="F14" s="2" t="s">
        <v>75</v>
      </c>
      <c r="G14" s="2" t="s">
        <v>60</v>
      </c>
      <c r="H14" s="2" t="s">
        <v>104</v>
      </c>
      <c r="J14" s="2" t="s">
        <v>91</v>
      </c>
      <c r="L14" s="4">
        <v>45261</v>
      </c>
      <c r="M14" s="4">
        <v>45583</v>
      </c>
      <c r="N14" s="2" t="s">
        <v>123</v>
      </c>
      <c r="O14" s="2">
        <v>0.83333333333333337</v>
      </c>
      <c r="P14" s="2" t="s">
        <v>124</v>
      </c>
      <c r="Q14" s="2" t="s">
        <v>93</v>
      </c>
      <c r="R14" s="2" t="s">
        <v>98</v>
      </c>
      <c r="S14" s="4">
        <v>45323</v>
      </c>
      <c r="T14" s="4">
        <v>45688</v>
      </c>
      <c r="X14" s="4">
        <v>45261</v>
      </c>
      <c r="Y14" s="4">
        <v>45322</v>
      </c>
      <c r="Z14" s="4">
        <v>45323</v>
      </c>
      <c r="AA14" s="4">
        <v>45688</v>
      </c>
      <c r="AE14" s="2">
        <v>23</v>
      </c>
      <c r="AF14" s="2" t="s">
        <v>51</v>
      </c>
      <c r="AG14" s="2" t="s">
        <v>52</v>
      </c>
      <c r="AH14" s="2" t="s">
        <v>53</v>
      </c>
      <c r="AI14" s="2" t="s">
        <v>81</v>
      </c>
      <c r="AJ14" s="2" t="s">
        <v>55</v>
      </c>
      <c r="AM14" s="6">
        <f t="shared" si="0"/>
        <v>2</v>
      </c>
      <c r="AN14" s="2" t="s">
        <v>72</v>
      </c>
      <c r="AO14" s="2" t="s">
        <v>125</v>
      </c>
    </row>
    <row r="15" spans="1:41" x14ac:dyDescent="0.15">
      <c r="A15" s="2" t="s">
        <v>126</v>
      </c>
      <c r="B15" s="2" t="s">
        <v>42</v>
      </c>
      <c r="C15" s="2" t="s">
        <v>43</v>
      </c>
      <c r="D15" s="4">
        <v>32206</v>
      </c>
      <c r="E15" s="2" t="s">
        <v>86</v>
      </c>
      <c r="F15" s="2" t="s">
        <v>86</v>
      </c>
      <c r="G15" s="2" t="s">
        <v>67</v>
      </c>
      <c r="H15" s="2" t="s">
        <v>67</v>
      </c>
      <c r="J15" s="2" t="s">
        <v>467</v>
      </c>
      <c r="K15" s="2" t="s">
        <v>79</v>
      </c>
      <c r="L15" s="4">
        <v>45293</v>
      </c>
      <c r="O15" s="2">
        <v>2.5</v>
      </c>
      <c r="P15" s="2" t="s">
        <v>127</v>
      </c>
      <c r="Q15" s="2" t="s">
        <v>49</v>
      </c>
      <c r="R15" s="2" t="s">
        <v>105</v>
      </c>
      <c r="S15" s="4">
        <v>45717</v>
      </c>
      <c r="T15" s="4">
        <v>46447</v>
      </c>
      <c r="U15" s="2">
        <v>24</v>
      </c>
      <c r="X15" s="4">
        <v>45293</v>
      </c>
      <c r="Y15" s="4">
        <v>45352</v>
      </c>
      <c r="Z15" s="4">
        <v>45352</v>
      </c>
      <c r="AA15" s="4">
        <v>45717</v>
      </c>
      <c r="AB15" s="4">
        <v>45717</v>
      </c>
      <c r="AC15" s="4">
        <v>46447</v>
      </c>
      <c r="AE15" s="2">
        <v>38</v>
      </c>
      <c r="AF15" s="2" t="s">
        <v>51</v>
      </c>
      <c r="AG15" s="2" t="s">
        <v>52</v>
      </c>
      <c r="AH15" s="2" t="s">
        <v>53</v>
      </c>
      <c r="AI15" s="2" t="s">
        <v>54</v>
      </c>
      <c r="AJ15" s="2" t="s">
        <v>55</v>
      </c>
      <c r="AM15" s="6">
        <f t="shared" si="0"/>
        <v>3</v>
      </c>
      <c r="AN15" s="2" t="s">
        <v>128</v>
      </c>
      <c r="AO15" s="2" t="s">
        <v>129</v>
      </c>
    </row>
    <row r="16" spans="1:41" x14ac:dyDescent="0.15">
      <c r="A16" s="2" t="s">
        <v>130</v>
      </c>
      <c r="B16" s="2" t="s">
        <v>42</v>
      </c>
      <c r="C16" s="2" t="s">
        <v>96</v>
      </c>
      <c r="D16" s="4">
        <v>35307</v>
      </c>
      <c r="E16" s="2" t="s">
        <v>74</v>
      </c>
      <c r="F16" s="2" t="s">
        <v>109</v>
      </c>
      <c r="G16" s="2" t="s">
        <v>60</v>
      </c>
      <c r="H16" s="2" t="s">
        <v>104</v>
      </c>
      <c r="J16" s="2" t="s">
        <v>91</v>
      </c>
      <c r="L16" s="4">
        <v>45306</v>
      </c>
      <c r="M16" s="4">
        <v>45583</v>
      </c>
      <c r="N16" s="2" t="s">
        <v>131</v>
      </c>
      <c r="O16" s="2">
        <v>0.75</v>
      </c>
      <c r="P16" s="2" t="s">
        <v>132</v>
      </c>
      <c r="Q16" s="2" t="s">
        <v>93</v>
      </c>
      <c r="R16" s="2" t="s">
        <v>98</v>
      </c>
      <c r="S16" s="4">
        <v>45366</v>
      </c>
      <c r="T16" s="4">
        <v>45730</v>
      </c>
      <c r="X16" s="4">
        <v>45306</v>
      </c>
      <c r="Y16" s="4">
        <v>45365</v>
      </c>
      <c r="Z16" s="4">
        <v>45366</v>
      </c>
      <c r="AA16" s="4">
        <v>45730</v>
      </c>
      <c r="AE16" s="2">
        <v>30</v>
      </c>
      <c r="AF16" s="2" t="s">
        <v>51</v>
      </c>
      <c r="AG16" s="2" t="s">
        <v>52</v>
      </c>
      <c r="AH16" s="2" t="s">
        <v>53</v>
      </c>
      <c r="AI16" s="2" t="s">
        <v>81</v>
      </c>
      <c r="AJ16" s="2" t="s">
        <v>55</v>
      </c>
      <c r="AM16" s="6">
        <f t="shared" si="0"/>
        <v>8</v>
      </c>
      <c r="AN16" s="2" t="s">
        <v>72</v>
      </c>
      <c r="AO16" s="2" t="s">
        <v>112</v>
      </c>
    </row>
    <row r="17" spans="1:41" x14ac:dyDescent="0.15">
      <c r="A17" s="2" t="s">
        <v>133</v>
      </c>
      <c r="B17" s="2" t="s">
        <v>42</v>
      </c>
      <c r="C17" s="2" t="s">
        <v>96</v>
      </c>
      <c r="D17" s="4">
        <v>37343</v>
      </c>
      <c r="G17" s="2" t="s">
        <v>60</v>
      </c>
      <c r="H17" s="2" t="s">
        <v>134</v>
      </c>
      <c r="J17" s="2" t="s">
        <v>62</v>
      </c>
      <c r="L17" s="4">
        <v>45299</v>
      </c>
      <c r="M17" s="4">
        <v>45311</v>
      </c>
      <c r="O17" s="2">
        <v>0</v>
      </c>
      <c r="P17" s="2" t="s">
        <v>135</v>
      </c>
      <c r="Q17" s="2" t="s">
        <v>93</v>
      </c>
      <c r="R17" s="2" t="s">
        <v>136</v>
      </c>
      <c r="S17" s="4">
        <v>45299</v>
      </c>
      <c r="T17" s="4">
        <v>45664</v>
      </c>
      <c r="V17" s="4">
        <v>45299</v>
      </c>
      <c r="W17" s="4">
        <v>45664</v>
      </c>
      <c r="AE17" s="2">
        <v>24</v>
      </c>
      <c r="AF17" s="2" t="s">
        <v>64</v>
      </c>
      <c r="AG17" s="2" t="s">
        <v>52</v>
      </c>
      <c r="AH17" s="2" t="s">
        <v>53</v>
      </c>
      <c r="AI17" s="2" t="s">
        <v>81</v>
      </c>
      <c r="AJ17" s="2" t="s">
        <v>55</v>
      </c>
      <c r="AM17" s="6">
        <f t="shared" si="0"/>
        <v>3</v>
      </c>
      <c r="AN17" s="2" t="s">
        <v>72</v>
      </c>
      <c r="AO17" s="2" t="s">
        <v>116</v>
      </c>
    </row>
    <row r="18" spans="1:41" x14ac:dyDescent="0.15">
      <c r="A18" s="2" t="s">
        <v>137</v>
      </c>
      <c r="B18" s="2" t="s">
        <v>42</v>
      </c>
      <c r="C18" s="2" t="s">
        <v>96</v>
      </c>
      <c r="D18" s="4">
        <v>36509</v>
      </c>
      <c r="E18" s="2" t="s">
        <v>58</v>
      </c>
      <c r="G18" s="2" t="s">
        <v>60</v>
      </c>
      <c r="J18" s="2" t="s">
        <v>62</v>
      </c>
      <c r="L18" s="4">
        <v>45307</v>
      </c>
      <c r="M18" s="4">
        <v>45319</v>
      </c>
      <c r="O18" s="2">
        <v>0</v>
      </c>
      <c r="P18" s="2" t="s">
        <v>138</v>
      </c>
      <c r="Q18" s="2" t="s">
        <v>93</v>
      </c>
      <c r="R18" s="2" t="s">
        <v>101</v>
      </c>
      <c r="S18" s="4">
        <v>45307</v>
      </c>
      <c r="T18" s="4">
        <v>45366</v>
      </c>
      <c r="X18" s="4">
        <v>45307</v>
      </c>
      <c r="Y18" s="4">
        <v>45366</v>
      </c>
      <c r="AE18" s="2">
        <v>27</v>
      </c>
      <c r="AF18" s="2" t="s">
        <v>64</v>
      </c>
      <c r="AG18" s="2" t="s">
        <v>52</v>
      </c>
      <c r="AH18" s="2" t="s">
        <v>53</v>
      </c>
      <c r="AI18" s="2" t="s">
        <v>81</v>
      </c>
      <c r="AJ18" s="2" t="s">
        <v>55</v>
      </c>
      <c r="AM18" s="6">
        <f t="shared" si="0"/>
        <v>12</v>
      </c>
      <c r="AN18" s="2" t="s">
        <v>139</v>
      </c>
    </row>
    <row r="19" spans="1:41" x14ac:dyDescent="0.15">
      <c r="A19" s="2" t="s">
        <v>140</v>
      </c>
      <c r="B19" s="2" t="s">
        <v>42</v>
      </c>
      <c r="C19" s="2" t="s">
        <v>96</v>
      </c>
      <c r="D19" s="4">
        <v>45082</v>
      </c>
      <c r="E19" s="2" t="s">
        <v>74</v>
      </c>
      <c r="F19" s="2" t="s">
        <v>90</v>
      </c>
      <c r="G19" s="2" t="s">
        <v>118</v>
      </c>
      <c r="H19" s="2" t="s">
        <v>134</v>
      </c>
      <c r="J19" s="2" t="s">
        <v>91</v>
      </c>
      <c r="L19" s="4">
        <v>45401</v>
      </c>
      <c r="M19" s="4">
        <v>45551</v>
      </c>
      <c r="N19" s="2" t="s">
        <v>141</v>
      </c>
      <c r="O19" s="2">
        <v>0.33333333333333331</v>
      </c>
      <c r="P19" s="2" t="s">
        <v>142</v>
      </c>
      <c r="Q19" s="2" t="s">
        <v>93</v>
      </c>
      <c r="R19" s="2" t="s">
        <v>136</v>
      </c>
      <c r="S19" s="4">
        <v>45401</v>
      </c>
      <c r="T19" s="4">
        <v>45765</v>
      </c>
      <c r="V19" s="4">
        <v>45401</v>
      </c>
      <c r="W19" s="4">
        <v>45765</v>
      </c>
      <c r="AE19" s="2">
        <v>3</v>
      </c>
      <c r="AF19" s="2" t="s">
        <v>51</v>
      </c>
      <c r="AG19" s="2" t="s">
        <v>52</v>
      </c>
      <c r="AH19" s="2" t="s">
        <v>53</v>
      </c>
      <c r="AI19" s="2" t="s">
        <v>81</v>
      </c>
      <c r="AJ19" s="2" t="s">
        <v>55</v>
      </c>
      <c r="AM19" s="6">
        <f t="shared" si="0"/>
        <v>6</v>
      </c>
      <c r="AN19" s="2" t="s">
        <v>72</v>
      </c>
      <c r="AO19" s="2" t="s">
        <v>143</v>
      </c>
    </row>
    <row r="20" spans="1:41" x14ac:dyDescent="0.15">
      <c r="A20" s="2" t="s">
        <v>144</v>
      </c>
      <c r="B20" s="2" t="s">
        <v>42</v>
      </c>
      <c r="C20" s="2" t="s">
        <v>43</v>
      </c>
      <c r="D20" s="4">
        <v>36426</v>
      </c>
      <c r="E20" s="2" t="s">
        <v>74</v>
      </c>
      <c r="F20" s="2" t="s">
        <v>109</v>
      </c>
      <c r="G20" s="2" t="s">
        <v>60</v>
      </c>
      <c r="H20" s="2" t="s">
        <v>104</v>
      </c>
      <c r="I20" s="2" t="s">
        <v>110</v>
      </c>
      <c r="J20" s="2" t="s">
        <v>78</v>
      </c>
      <c r="K20" s="2" t="s">
        <v>79</v>
      </c>
      <c r="L20" s="4">
        <v>45418</v>
      </c>
      <c r="O20" s="2">
        <v>2.166666666666667</v>
      </c>
      <c r="P20" s="2" t="s">
        <v>145</v>
      </c>
      <c r="Q20" s="2" t="s">
        <v>49</v>
      </c>
      <c r="R20" s="2" t="s">
        <v>105</v>
      </c>
      <c r="S20" s="4">
        <v>45844</v>
      </c>
      <c r="T20" s="4">
        <v>46573</v>
      </c>
      <c r="U20" s="2">
        <v>24</v>
      </c>
      <c r="X20" s="4">
        <v>45418</v>
      </c>
      <c r="Y20" s="4">
        <v>45478</v>
      </c>
      <c r="Z20" s="4">
        <v>45479</v>
      </c>
      <c r="AA20" s="4">
        <v>45843</v>
      </c>
      <c r="AB20" s="4">
        <v>45844</v>
      </c>
      <c r="AC20" s="4">
        <v>46573</v>
      </c>
      <c r="AE20" s="2">
        <v>27</v>
      </c>
      <c r="AF20" s="2" t="s">
        <v>51</v>
      </c>
      <c r="AG20" s="2" t="s">
        <v>52</v>
      </c>
      <c r="AH20" s="2" t="s">
        <v>53</v>
      </c>
      <c r="AI20" s="2" t="s">
        <v>81</v>
      </c>
      <c r="AJ20" s="2" t="s">
        <v>55</v>
      </c>
      <c r="AK20" s="2" t="s">
        <v>146</v>
      </c>
      <c r="AL20" s="2" t="s">
        <v>147</v>
      </c>
      <c r="AM20" s="6">
        <f t="shared" si="0"/>
        <v>9</v>
      </c>
      <c r="AN20" s="2" t="s">
        <v>72</v>
      </c>
      <c r="AO20" s="2" t="s">
        <v>148</v>
      </c>
    </row>
    <row r="21" spans="1:41" x14ac:dyDescent="0.15">
      <c r="A21" s="2" t="s">
        <v>149</v>
      </c>
      <c r="B21" s="2" t="s">
        <v>42</v>
      </c>
      <c r="C21" s="2" t="s">
        <v>43</v>
      </c>
      <c r="D21" s="4">
        <v>35161</v>
      </c>
      <c r="E21" s="2" t="s">
        <v>150</v>
      </c>
      <c r="G21" s="2" t="s">
        <v>67</v>
      </c>
      <c r="H21" s="2" t="s">
        <v>67</v>
      </c>
      <c r="J21" s="2" t="s">
        <v>62</v>
      </c>
      <c r="K21" s="2" t="s">
        <v>63</v>
      </c>
      <c r="L21" s="4">
        <v>45446</v>
      </c>
      <c r="O21" s="2">
        <v>2.083333333333333</v>
      </c>
      <c r="P21" s="2" t="s">
        <v>151</v>
      </c>
      <c r="Q21" s="2" t="s">
        <v>49</v>
      </c>
      <c r="R21" s="2" t="s">
        <v>105</v>
      </c>
      <c r="S21" s="4">
        <v>45872</v>
      </c>
      <c r="T21" s="4">
        <v>46601</v>
      </c>
      <c r="U21" s="2">
        <v>24</v>
      </c>
      <c r="X21" s="4">
        <v>45446</v>
      </c>
      <c r="Y21" s="4">
        <v>45506</v>
      </c>
      <c r="Z21" s="4">
        <v>45507</v>
      </c>
      <c r="AA21" s="4">
        <v>45871</v>
      </c>
      <c r="AB21" s="4">
        <v>45872</v>
      </c>
      <c r="AC21" s="4">
        <v>46601</v>
      </c>
      <c r="AE21" s="2">
        <v>30</v>
      </c>
      <c r="AF21" s="2" t="s">
        <v>64</v>
      </c>
      <c r="AG21" s="2" t="s">
        <v>152</v>
      </c>
      <c r="AH21" s="2" t="s">
        <v>53</v>
      </c>
      <c r="AI21" s="2" t="s">
        <v>54</v>
      </c>
      <c r="AJ21" s="2" t="s">
        <v>55</v>
      </c>
      <c r="AK21" s="2" t="s">
        <v>153</v>
      </c>
      <c r="AL21" s="2" t="s">
        <v>147</v>
      </c>
      <c r="AM21" s="6">
        <f t="shared" si="0"/>
        <v>4</v>
      </c>
      <c r="AN21" s="2" t="s">
        <v>154</v>
      </c>
      <c r="AO21" s="2" t="s">
        <v>155</v>
      </c>
    </row>
    <row r="22" spans="1:41" x14ac:dyDescent="0.15">
      <c r="A22" s="2" t="s">
        <v>156</v>
      </c>
      <c r="B22" s="2" t="s">
        <v>42</v>
      </c>
      <c r="C22" s="2" t="s">
        <v>43</v>
      </c>
      <c r="D22" s="4">
        <v>37014</v>
      </c>
      <c r="E22" s="2" t="s">
        <v>74</v>
      </c>
      <c r="F22" s="2" t="s">
        <v>109</v>
      </c>
      <c r="G22" s="2" t="s">
        <v>60</v>
      </c>
      <c r="H22" s="2" t="s">
        <v>104</v>
      </c>
      <c r="I22" s="2" t="s">
        <v>110</v>
      </c>
      <c r="J22" s="2" t="s">
        <v>78</v>
      </c>
      <c r="K22" s="2" t="s">
        <v>79</v>
      </c>
      <c r="L22" s="4">
        <v>45460</v>
      </c>
      <c r="O22" s="2">
        <v>2</v>
      </c>
      <c r="P22" s="2" t="s">
        <v>157</v>
      </c>
      <c r="Q22" s="2" t="s">
        <v>49</v>
      </c>
      <c r="R22" s="2" t="s">
        <v>105</v>
      </c>
      <c r="S22" s="4">
        <v>45886</v>
      </c>
      <c r="T22" s="4">
        <v>46615</v>
      </c>
      <c r="U22" s="2">
        <v>24</v>
      </c>
      <c r="X22" s="4">
        <v>45460</v>
      </c>
      <c r="Y22" s="4">
        <v>45520</v>
      </c>
      <c r="Z22" s="4">
        <v>45521</v>
      </c>
      <c r="AA22" s="4">
        <v>45885</v>
      </c>
      <c r="AB22" s="4">
        <v>45886</v>
      </c>
      <c r="AC22" s="4">
        <v>46615</v>
      </c>
      <c r="AE22" s="2">
        <v>25</v>
      </c>
      <c r="AF22" s="2" t="s">
        <v>51</v>
      </c>
      <c r="AG22" s="2" t="s">
        <v>52</v>
      </c>
      <c r="AH22" s="2" t="s">
        <v>53</v>
      </c>
      <c r="AI22" s="2" t="s">
        <v>81</v>
      </c>
      <c r="AJ22" s="2" t="s">
        <v>158</v>
      </c>
      <c r="AK22" s="2" t="s">
        <v>159</v>
      </c>
      <c r="AL22" s="2" t="s">
        <v>147</v>
      </c>
      <c r="AM22" s="6">
        <f t="shared" si="0"/>
        <v>5</v>
      </c>
      <c r="AN22" s="2" t="s">
        <v>72</v>
      </c>
      <c r="AO22" s="2" t="s">
        <v>116</v>
      </c>
    </row>
    <row r="23" spans="1:41" x14ac:dyDescent="0.15">
      <c r="A23" s="2" t="s">
        <v>160</v>
      </c>
      <c r="B23" s="2" t="s">
        <v>42</v>
      </c>
      <c r="C23" s="2" t="s">
        <v>43</v>
      </c>
      <c r="D23" s="4">
        <v>35883</v>
      </c>
      <c r="E23" s="2" t="s">
        <v>74</v>
      </c>
      <c r="F23" s="2" t="s">
        <v>109</v>
      </c>
      <c r="G23" s="2" t="s">
        <v>60</v>
      </c>
      <c r="H23" s="2" t="s">
        <v>104</v>
      </c>
      <c r="I23" s="2" t="s">
        <v>77</v>
      </c>
      <c r="J23" s="2" t="s">
        <v>78</v>
      </c>
      <c r="K23" s="2" t="s">
        <v>79</v>
      </c>
      <c r="L23" s="4">
        <v>45476</v>
      </c>
      <c r="O23" s="2">
        <v>2</v>
      </c>
      <c r="P23" s="2" t="s">
        <v>161</v>
      </c>
      <c r="Q23" s="2" t="s">
        <v>49</v>
      </c>
      <c r="R23" s="2" t="s">
        <v>105</v>
      </c>
      <c r="S23" s="4">
        <v>45903</v>
      </c>
      <c r="T23" s="4">
        <v>46632</v>
      </c>
      <c r="U23" s="2">
        <v>24</v>
      </c>
      <c r="X23" s="4">
        <v>45476</v>
      </c>
      <c r="Y23" s="4">
        <v>45537</v>
      </c>
      <c r="Z23" s="4">
        <v>45538</v>
      </c>
      <c r="AA23" s="4">
        <v>45902</v>
      </c>
      <c r="AB23" s="4">
        <v>45903</v>
      </c>
      <c r="AC23" s="4">
        <v>46632</v>
      </c>
      <c r="AE23" s="2">
        <v>28</v>
      </c>
      <c r="AF23" s="2" t="s">
        <v>51</v>
      </c>
      <c r="AG23" s="2" t="s">
        <v>52</v>
      </c>
      <c r="AH23" s="2" t="s">
        <v>53</v>
      </c>
      <c r="AI23" s="2" t="s">
        <v>81</v>
      </c>
      <c r="AJ23" s="2" t="s">
        <v>55</v>
      </c>
      <c r="AK23" s="2" t="s">
        <v>468</v>
      </c>
      <c r="AL23" s="2" t="s">
        <v>162</v>
      </c>
      <c r="AM23" s="6">
        <f t="shared" si="0"/>
        <v>3</v>
      </c>
      <c r="AN23" s="2" t="s">
        <v>163</v>
      </c>
      <c r="AO23" s="2" t="s">
        <v>164</v>
      </c>
    </row>
    <row r="24" spans="1:41" x14ac:dyDescent="0.15">
      <c r="A24" s="2" t="s">
        <v>165</v>
      </c>
      <c r="B24" s="2" t="s">
        <v>42</v>
      </c>
      <c r="C24" s="2" t="s">
        <v>57</v>
      </c>
      <c r="D24" s="4">
        <v>31445</v>
      </c>
      <c r="E24" s="2" t="s">
        <v>86</v>
      </c>
      <c r="F24" s="2" t="s">
        <v>86</v>
      </c>
      <c r="G24" s="2" t="s">
        <v>60</v>
      </c>
      <c r="H24" s="2" t="s">
        <v>61</v>
      </c>
      <c r="J24" s="2" t="s">
        <v>91</v>
      </c>
      <c r="L24" s="4">
        <v>45505</v>
      </c>
      <c r="M24" s="4">
        <v>45516</v>
      </c>
      <c r="N24" s="2" t="s">
        <v>166</v>
      </c>
      <c r="O24" s="2">
        <v>0</v>
      </c>
      <c r="P24" s="2" t="s">
        <v>167</v>
      </c>
      <c r="Q24" s="2" t="s">
        <v>93</v>
      </c>
      <c r="R24" s="2" t="s">
        <v>101</v>
      </c>
      <c r="S24" s="4">
        <v>45505</v>
      </c>
      <c r="T24" s="4">
        <v>45565</v>
      </c>
      <c r="X24" s="4">
        <v>45505</v>
      </c>
      <c r="Y24" s="4">
        <v>45565</v>
      </c>
      <c r="AE24" s="2">
        <v>40</v>
      </c>
      <c r="AF24" s="2" t="s">
        <v>51</v>
      </c>
      <c r="AG24" s="2" t="s">
        <v>52</v>
      </c>
      <c r="AH24" s="2" t="s">
        <v>53</v>
      </c>
      <c r="AI24" s="2" t="s">
        <v>54</v>
      </c>
      <c r="AJ24" s="2" t="s">
        <v>168</v>
      </c>
      <c r="AK24" s="2" t="s">
        <v>169</v>
      </c>
      <c r="AL24" s="2" t="s">
        <v>170</v>
      </c>
      <c r="AM24" s="6">
        <f t="shared" si="0"/>
        <v>2</v>
      </c>
      <c r="AN24" s="2" t="s">
        <v>171</v>
      </c>
      <c r="AO24" s="2" t="s">
        <v>172</v>
      </c>
    </row>
    <row r="25" spans="1:41" x14ac:dyDescent="0.15">
      <c r="A25" s="2" t="s">
        <v>173</v>
      </c>
      <c r="B25" s="2" t="s">
        <v>174</v>
      </c>
      <c r="C25" s="2" t="s">
        <v>57</v>
      </c>
      <c r="D25" s="4">
        <v>34004</v>
      </c>
      <c r="E25" s="2" t="s">
        <v>175</v>
      </c>
      <c r="G25" s="2" t="s">
        <v>176</v>
      </c>
      <c r="H25" s="2" t="s">
        <v>76</v>
      </c>
      <c r="I25" s="2" t="s">
        <v>177</v>
      </c>
      <c r="J25" s="2" t="s">
        <v>175</v>
      </c>
      <c r="K25" s="2" t="s">
        <v>175</v>
      </c>
      <c r="L25" s="4">
        <v>45505</v>
      </c>
      <c r="M25" s="4">
        <v>46112</v>
      </c>
      <c r="O25" s="2">
        <v>1.583333333333333</v>
      </c>
      <c r="P25" s="2" t="s">
        <v>167</v>
      </c>
      <c r="Q25" s="2" t="s">
        <v>93</v>
      </c>
      <c r="R25" s="2" t="s">
        <v>98</v>
      </c>
      <c r="S25" s="4">
        <v>45566</v>
      </c>
      <c r="T25" s="4">
        <v>45930</v>
      </c>
      <c r="U25" s="2">
        <v>12</v>
      </c>
      <c r="X25" s="4">
        <v>45505</v>
      </c>
      <c r="Y25" s="4">
        <v>45565</v>
      </c>
      <c r="Z25" s="4">
        <v>45566</v>
      </c>
      <c r="AA25" s="4">
        <v>45930</v>
      </c>
      <c r="AE25" s="2">
        <v>33</v>
      </c>
      <c r="AF25" s="2" t="s">
        <v>64</v>
      </c>
      <c r="AG25" s="2" t="s">
        <v>52</v>
      </c>
      <c r="AH25" s="2" t="s">
        <v>53</v>
      </c>
      <c r="AM25" s="6">
        <f t="shared" si="0"/>
        <v>2</v>
      </c>
    </row>
    <row r="26" spans="1:41" x14ac:dyDescent="0.15">
      <c r="A26" s="2" t="s">
        <v>178</v>
      </c>
      <c r="B26" s="2" t="s">
        <v>42</v>
      </c>
      <c r="C26" s="2" t="s">
        <v>43</v>
      </c>
      <c r="D26" s="4">
        <v>36643</v>
      </c>
      <c r="E26" s="2" t="s">
        <v>179</v>
      </c>
      <c r="G26" s="2" t="s">
        <v>60</v>
      </c>
      <c r="H26" s="2" t="s">
        <v>180</v>
      </c>
      <c r="I26" s="2" t="s">
        <v>181</v>
      </c>
      <c r="J26" s="2" t="s">
        <v>175</v>
      </c>
      <c r="K26" s="2" t="s">
        <v>175</v>
      </c>
      <c r="L26" s="4">
        <v>45530</v>
      </c>
      <c r="M26" s="4">
        <v>46140</v>
      </c>
      <c r="O26" s="2">
        <v>1.666666666666667</v>
      </c>
      <c r="P26" s="2" t="s">
        <v>182</v>
      </c>
      <c r="Q26" s="2" t="s">
        <v>93</v>
      </c>
      <c r="R26" s="2" t="s">
        <v>105</v>
      </c>
      <c r="S26" s="4">
        <v>45956</v>
      </c>
      <c r="T26" s="4">
        <v>46685</v>
      </c>
      <c r="U26" s="2">
        <v>24</v>
      </c>
      <c r="X26" s="4">
        <v>45530</v>
      </c>
      <c r="Y26" s="4">
        <v>45590</v>
      </c>
      <c r="Z26" s="4">
        <v>45591</v>
      </c>
      <c r="AA26" s="4">
        <v>45955</v>
      </c>
      <c r="AB26" s="4">
        <v>45956</v>
      </c>
      <c r="AC26" s="4">
        <v>46685</v>
      </c>
      <c r="AE26" s="2">
        <v>26</v>
      </c>
      <c r="AF26" s="2" t="s">
        <v>64</v>
      </c>
      <c r="AG26" s="2" t="s">
        <v>52</v>
      </c>
      <c r="AH26" s="2" t="s">
        <v>53</v>
      </c>
      <c r="AI26" s="2" t="s">
        <v>81</v>
      </c>
      <c r="AJ26" s="2" t="s">
        <v>55</v>
      </c>
      <c r="AK26" s="2" t="s">
        <v>183</v>
      </c>
      <c r="AL26" s="2" t="s">
        <v>184</v>
      </c>
      <c r="AM26" s="6">
        <f t="shared" si="0"/>
        <v>4</v>
      </c>
      <c r="AN26" s="2" t="s">
        <v>107</v>
      </c>
      <c r="AO26" s="2" t="s">
        <v>116</v>
      </c>
    </row>
    <row r="27" spans="1:41" x14ac:dyDescent="0.15">
      <c r="A27" s="2" t="s">
        <v>185</v>
      </c>
      <c r="B27" s="2" t="s">
        <v>42</v>
      </c>
      <c r="C27" s="2" t="s">
        <v>96</v>
      </c>
      <c r="D27" s="4">
        <v>37870</v>
      </c>
      <c r="E27" s="2" t="s">
        <v>74</v>
      </c>
      <c r="F27" s="2" t="s">
        <v>103</v>
      </c>
      <c r="G27" s="2" t="s">
        <v>60</v>
      </c>
      <c r="H27" s="2" t="s">
        <v>134</v>
      </c>
      <c r="J27" s="2" t="s">
        <v>91</v>
      </c>
      <c r="L27" s="4">
        <v>45539</v>
      </c>
      <c r="M27" s="4">
        <v>45909</v>
      </c>
      <c r="N27" s="2" t="s">
        <v>186</v>
      </c>
      <c r="O27" s="2">
        <v>1</v>
      </c>
      <c r="P27" s="2" t="s">
        <v>187</v>
      </c>
      <c r="Q27" s="2" t="s">
        <v>93</v>
      </c>
      <c r="R27" s="2" t="s">
        <v>98</v>
      </c>
      <c r="S27" s="4">
        <v>45658</v>
      </c>
      <c r="T27" s="4">
        <v>46021</v>
      </c>
      <c r="V27" s="4">
        <v>45539</v>
      </c>
      <c r="W27" s="4">
        <v>45599</v>
      </c>
      <c r="X27" s="4">
        <v>45600</v>
      </c>
      <c r="Y27" s="4">
        <v>45656</v>
      </c>
      <c r="Z27" s="4">
        <v>45658</v>
      </c>
      <c r="AA27" s="4">
        <v>46021</v>
      </c>
      <c r="AE27" s="2">
        <v>23</v>
      </c>
      <c r="AF27" s="2" t="s">
        <v>51</v>
      </c>
      <c r="AG27" s="2" t="s">
        <v>52</v>
      </c>
      <c r="AH27" s="2" t="s">
        <v>53</v>
      </c>
      <c r="AI27" s="2" t="s">
        <v>81</v>
      </c>
      <c r="AJ27" s="2" t="s">
        <v>55</v>
      </c>
      <c r="AK27" s="2" t="s">
        <v>468</v>
      </c>
      <c r="AL27" s="2" t="s">
        <v>188</v>
      </c>
      <c r="AM27" s="6">
        <f t="shared" si="0"/>
        <v>9</v>
      </c>
      <c r="AN27" s="2" t="s">
        <v>189</v>
      </c>
      <c r="AO27" s="2" t="s">
        <v>190</v>
      </c>
    </row>
    <row r="28" spans="1:41" x14ac:dyDescent="0.15">
      <c r="A28" s="2" t="s">
        <v>191</v>
      </c>
      <c r="B28" s="2" t="s">
        <v>42</v>
      </c>
      <c r="C28" s="2" t="s">
        <v>43</v>
      </c>
      <c r="D28" s="4">
        <v>37913</v>
      </c>
      <c r="E28" s="2" t="s">
        <v>74</v>
      </c>
      <c r="F28" s="2" t="s">
        <v>109</v>
      </c>
      <c r="G28" s="2" t="s">
        <v>60</v>
      </c>
      <c r="H28" s="2" t="s">
        <v>180</v>
      </c>
      <c r="I28" s="2" t="s">
        <v>110</v>
      </c>
      <c r="J28" s="2" t="s">
        <v>78</v>
      </c>
      <c r="K28" s="2" t="s">
        <v>79</v>
      </c>
      <c r="L28" s="4">
        <v>45539</v>
      </c>
      <c r="O28" s="2">
        <v>1.833333333333333</v>
      </c>
      <c r="P28" s="2" t="s">
        <v>187</v>
      </c>
      <c r="Q28" s="2" t="s">
        <v>49</v>
      </c>
      <c r="R28" s="2" t="s">
        <v>98</v>
      </c>
      <c r="S28" s="4">
        <v>45869</v>
      </c>
      <c r="T28" s="4">
        <v>46233</v>
      </c>
      <c r="U28" s="2">
        <v>12</v>
      </c>
      <c r="V28" s="4">
        <v>45539</v>
      </c>
      <c r="W28" s="4">
        <v>45442</v>
      </c>
      <c r="X28" s="4">
        <v>45809</v>
      </c>
      <c r="Y28" s="4">
        <v>45868</v>
      </c>
      <c r="Z28" s="4">
        <v>45869</v>
      </c>
      <c r="AA28" s="4">
        <v>46233</v>
      </c>
      <c r="AE28" s="2">
        <v>23</v>
      </c>
      <c r="AF28" s="2" t="s">
        <v>51</v>
      </c>
      <c r="AG28" s="2" t="s">
        <v>52</v>
      </c>
      <c r="AH28" s="2" t="s">
        <v>53</v>
      </c>
      <c r="AI28" s="2" t="s">
        <v>81</v>
      </c>
      <c r="AJ28" s="2" t="s">
        <v>55</v>
      </c>
      <c r="AK28" s="2" t="s">
        <v>192</v>
      </c>
      <c r="AL28" s="2" t="s">
        <v>193</v>
      </c>
      <c r="AM28" s="6">
        <f t="shared" si="0"/>
        <v>10</v>
      </c>
      <c r="AN28" s="2" t="s">
        <v>154</v>
      </c>
      <c r="AO28" s="2" t="s">
        <v>88</v>
      </c>
    </row>
    <row r="29" spans="1:41" x14ac:dyDescent="0.15">
      <c r="A29" s="2" t="s">
        <v>195</v>
      </c>
      <c r="B29" s="2" t="s">
        <v>42</v>
      </c>
      <c r="C29" s="2" t="s">
        <v>96</v>
      </c>
      <c r="D29" s="4">
        <v>34183</v>
      </c>
      <c r="E29" s="2" t="s">
        <v>121</v>
      </c>
      <c r="F29" s="2" t="s">
        <v>86</v>
      </c>
      <c r="G29" s="2" t="s">
        <v>60</v>
      </c>
      <c r="H29" s="2" t="s">
        <v>76</v>
      </c>
      <c r="J29" s="2" t="s">
        <v>196</v>
      </c>
      <c r="L29" s="4">
        <v>45544</v>
      </c>
      <c r="M29" s="4">
        <v>45562</v>
      </c>
      <c r="N29" s="2" t="s">
        <v>197</v>
      </c>
      <c r="O29" s="2">
        <v>0</v>
      </c>
      <c r="P29" s="2" t="s">
        <v>198</v>
      </c>
      <c r="Q29" s="2" t="s">
        <v>93</v>
      </c>
      <c r="R29" s="2" t="s">
        <v>101</v>
      </c>
      <c r="S29" s="4">
        <v>45544</v>
      </c>
      <c r="T29" s="4">
        <v>45604</v>
      </c>
      <c r="X29" s="4">
        <v>45544</v>
      </c>
      <c r="Y29" s="4">
        <v>45604</v>
      </c>
      <c r="AE29" s="2">
        <v>33</v>
      </c>
      <c r="AF29" s="2" t="s">
        <v>64</v>
      </c>
      <c r="AG29" s="2" t="s">
        <v>52</v>
      </c>
      <c r="AH29" s="2" t="s">
        <v>53</v>
      </c>
      <c r="AI29" s="2" t="s">
        <v>54</v>
      </c>
      <c r="AJ29" s="2" t="s">
        <v>55</v>
      </c>
      <c r="AK29" s="2" t="s">
        <v>199</v>
      </c>
      <c r="AL29" s="2" t="s">
        <v>200</v>
      </c>
      <c r="AM29" s="6">
        <f t="shared" si="0"/>
        <v>8</v>
      </c>
      <c r="AN29" s="2" t="s">
        <v>72</v>
      </c>
      <c r="AO29" s="2" t="s">
        <v>201</v>
      </c>
    </row>
    <row r="30" spans="1:41" x14ac:dyDescent="0.15">
      <c r="A30" s="2" t="s">
        <v>202</v>
      </c>
      <c r="B30" s="2" t="s">
        <v>42</v>
      </c>
      <c r="C30" s="2" t="s">
        <v>43</v>
      </c>
      <c r="D30" s="4">
        <v>36741</v>
      </c>
      <c r="E30" s="2" t="s">
        <v>74</v>
      </c>
      <c r="F30" s="2" t="s">
        <v>109</v>
      </c>
      <c r="G30" s="2" t="s">
        <v>60</v>
      </c>
      <c r="H30" s="2" t="s">
        <v>104</v>
      </c>
      <c r="I30" s="2" t="s">
        <v>110</v>
      </c>
      <c r="J30" s="2" t="s">
        <v>78</v>
      </c>
      <c r="K30" s="2" t="s">
        <v>79</v>
      </c>
      <c r="L30" s="4">
        <v>45544</v>
      </c>
      <c r="O30" s="2">
        <v>1.75</v>
      </c>
      <c r="P30" s="2" t="s">
        <v>198</v>
      </c>
      <c r="Q30" s="2" t="s">
        <v>49</v>
      </c>
      <c r="R30" s="2" t="s">
        <v>105</v>
      </c>
      <c r="S30" s="4">
        <v>45970</v>
      </c>
      <c r="T30" s="4">
        <v>46699</v>
      </c>
      <c r="U30" s="2">
        <v>24</v>
      </c>
      <c r="X30" s="4">
        <v>45544</v>
      </c>
      <c r="Y30" s="4">
        <v>45604</v>
      </c>
      <c r="Z30" s="4">
        <v>45605</v>
      </c>
      <c r="AA30" s="4">
        <v>45969</v>
      </c>
      <c r="AB30" s="4">
        <v>45970</v>
      </c>
      <c r="AC30" s="4">
        <v>46699</v>
      </c>
      <c r="AE30" s="2">
        <v>26</v>
      </c>
      <c r="AF30" s="2" t="s">
        <v>51</v>
      </c>
      <c r="AG30" s="2" t="s">
        <v>52</v>
      </c>
      <c r="AH30" s="2" t="s">
        <v>53</v>
      </c>
      <c r="AI30" s="2" t="s">
        <v>81</v>
      </c>
      <c r="AJ30" s="2" t="s">
        <v>158</v>
      </c>
      <c r="AK30" s="2" t="s">
        <v>203</v>
      </c>
      <c r="AL30" s="2" t="s">
        <v>204</v>
      </c>
      <c r="AM30" s="6">
        <f t="shared" si="0"/>
        <v>8</v>
      </c>
      <c r="AN30" s="2" t="s">
        <v>72</v>
      </c>
      <c r="AO30" s="2" t="s">
        <v>449</v>
      </c>
    </row>
    <row r="31" spans="1:41" x14ac:dyDescent="0.15">
      <c r="A31" s="2" t="s">
        <v>205</v>
      </c>
      <c r="B31" s="2" t="s">
        <v>42</v>
      </c>
      <c r="C31" s="2" t="s">
        <v>43</v>
      </c>
      <c r="D31" s="4">
        <v>36788</v>
      </c>
      <c r="E31" s="2" t="s">
        <v>74</v>
      </c>
      <c r="F31" s="2" t="s">
        <v>109</v>
      </c>
      <c r="G31" s="2" t="s">
        <v>60</v>
      </c>
      <c r="H31" s="2" t="s">
        <v>104</v>
      </c>
      <c r="I31" s="2" t="s">
        <v>77</v>
      </c>
      <c r="J31" s="2" t="s">
        <v>78</v>
      </c>
      <c r="K31" s="2" t="s">
        <v>79</v>
      </c>
      <c r="L31" s="4">
        <v>45579</v>
      </c>
      <c r="O31" s="2">
        <v>1.666666666666667</v>
      </c>
      <c r="P31" s="2" t="s">
        <v>206</v>
      </c>
      <c r="Q31" s="2" t="s">
        <v>49</v>
      </c>
      <c r="R31" s="2" t="s">
        <v>105</v>
      </c>
      <c r="S31" s="4">
        <v>46005</v>
      </c>
      <c r="T31" s="4">
        <v>46369</v>
      </c>
      <c r="U31" s="2">
        <v>12</v>
      </c>
      <c r="X31" s="4">
        <v>45579</v>
      </c>
      <c r="Y31" s="4">
        <v>45639</v>
      </c>
      <c r="Z31" s="4">
        <v>45640</v>
      </c>
      <c r="AA31" s="4">
        <v>46004</v>
      </c>
      <c r="AB31" s="4">
        <v>46005</v>
      </c>
      <c r="AC31" s="4">
        <v>46369</v>
      </c>
      <c r="AE31" s="2">
        <v>26</v>
      </c>
      <c r="AF31" s="2" t="s">
        <v>51</v>
      </c>
      <c r="AG31" s="2" t="s">
        <v>52</v>
      </c>
      <c r="AH31" s="2" t="s">
        <v>53</v>
      </c>
      <c r="AI31" s="2" t="s">
        <v>81</v>
      </c>
      <c r="AJ31" s="2" t="s">
        <v>55</v>
      </c>
      <c r="AK31" s="2" t="s">
        <v>207</v>
      </c>
      <c r="AL31" s="2" t="s">
        <v>147</v>
      </c>
      <c r="AM31" s="6">
        <f t="shared" si="0"/>
        <v>9</v>
      </c>
      <c r="AN31" s="2" t="s">
        <v>72</v>
      </c>
      <c r="AO31" s="2" t="s">
        <v>208</v>
      </c>
    </row>
    <row r="32" spans="1:41" x14ac:dyDescent="0.15">
      <c r="A32" s="2" t="s">
        <v>209</v>
      </c>
      <c r="B32" s="2" t="s">
        <v>42</v>
      </c>
      <c r="C32" s="2" t="s">
        <v>96</v>
      </c>
      <c r="D32" s="4">
        <v>36777</v>
      </c>
      <c r="E32" s="2" t="s">
        <v>86</v>
      </c>
      <c r="F32" s="2" t="s">
        <v>86</v>
      </c>
      <c r="G32" s="2" t="s">
        <v>60</v>
      </c>
      <c r="H32" s="2" t="s">
        <v>104</v>
      </c>
      <c r="J32" s="2" t="s">
        <v>91</v>
      </c>
      <c r="L32" s="4">
        <v>45600</v>
      </c>
      <c r="M32" s="4">
        <v>45653</v>
      </c>
      <c r="N32" s="2" t="s">
        <v>210</v>
      </c>
      <c r="O32" s="2">
        <v>8.3333333333333329E-2</v>
      </c>
      <c r="P32" s="2" t="s">
        <v>211</v>
      </c>
      <c r="Q32" s="2" t="s">
        <v>93</v>
      </c>
      <c r="R32" s="2" t="s">
        <v>101</v>
      </c>
      <c r="S32" s="4">
        <v>45600</v>
      </c>
      <c r="T32" s="4">
        <v>45660</v>
      </c>
      <c r="X32" s="4">
        <v>45600</v>
      </c>
      <c r="Y32" s="4">
        <v>45660</v>
      </c>
      <c r="AE32" s="2">
        <v>26</v>
      </c>
      <c r="AF32" s="2" t="s">
        <v>51</v>
      </c>
      <c r="AG32" s="2" t="s">
        <v>52</v>
      </c>
      <c r="AH32" s="2" t="s">
        <v>53</v>
      </c>
      <c r="AI32" s="2" t="s">
        <v>81</v>
      </c>
      <c r="AJ32" s="2" t="s">
        <v>55</v>
      </c>
      <c r="AK32" s="2" t="s">
        <v>212</v>
      </c>
      <c r="AL32" s="2" t="s">
        <v>213</v>
      </c>
      <c r="AM32" s="6">
        <f t="shared" si="0"/>
        <v>9</v>
      </c>
      <c r="AN32" s="2" t="s">
        <v>72</v>
      </c>
      <c r="AO32" s="2" t="s">
        <v>116</v>
      </c>
    </row>
    <row r="33" spans="1:41" x14ac:dyDescent="0.15">
      <c r="A33" s="2" t="s">
        <v>214</v>
      </c>
      <c r="B33" s="2" t="s">
        <v>42</v>
      </c>
      <c r="C33" s="2" t="s">
        <v>43</v>
      </c>
      <c r="D33" s="4">
        <v>37469</v>
      </c>
      <c r="E33" s="2" t="s">
        <v>74</v>
      </c>
      <c r="F33" s="2" t="s">
        <v>103</v>
      </c>
      <c r="G33" s="2" t="s">
        <v>60</v>
      </c>
      <c r="H33" s="2" t="s">
        <v>180</v>
      </c>
      <c r="I33" s="2" t="s">
        <v>77</v>
      </c>
      <c r="J33" s="2" t="s">
        <v>78</v>
      </c>
      <c r="K33" s="2" t="s">
        <v>79</v>
      </c>
      <c r="L33" s="4">
        <v>45607</v>
      </c>
      <c r="O33" s="2">
        <v>1.583333333333333</v>
      </c>
      <c r="P33" s="2" t="s">
        <v>215</v>
      </c>
      <c r="Q33" s="2" t="s">
        <v>49</v>
      </c>
      <c r="R33" s="2" t="s">
        <v>105</v>
      </c>
      <c r="S33" s="4">
        <v>46033</v>
      </c>
      <c r="T33" s="4">
        <v>46397</v>
      </c>
      <c r="U33" s="2">
        <v>12</v>
      </c>
      <c r="X33" s="4">
        <v>45607</v>
      </c>
      <c r="Y33" s="4">
        <v>45667</v>
      </c>
      <c r="Z33" s="4">
        <v>45668</v>
      </c>
      <c r="AA33" s="4">
        <v>46032</v>
      </c>
      <c r="AB33" s="4">
        <v>46033</v>
      </c>
      <c r="AC33" s="4">
        <v>46397</v>
      </c>
      <c r="AE33" s="2">
        <v>24</v>
      </c>
      <c r="AF33" s="2" t="s">
        <v>51</v>
      </c>
      <c r="AG33" s="2" t="s">
        <v>52</v>
      </c>
      <c r="AH33" s="2" t="s">
        <v>53</v>
      </c>
      <c r="AI33" s="2" t="s">
        <v>81</v>
      </c>
      <c r="AJ33" s="2" t="s">
        <v>55</v>
      </c>
      <c r="AK33" s="2" t="s">
        <v>457</v>
      </c>
      <c r="AL33" s="2" t="s">
        <v>147</v>
      </c>
      <c r="AM33" s="6">
        <f t="shared" si="0"/>
        <v>8</v>
      </c>
      <c r="AN33" s="2" t="s">
        <v>82</v>
      </c>
      <c r="AO33" s="2" t="s">
        <v>190</v>
      </c>
    </row>
    <row r="34" spans="1:41" x14ac:dyDescent="0.15">
      <c r="A34" s="2" t="s">
        <v>216</v>
      </c>
      <c r="B34" s="2" t="s">
        <v>42</v>
      </c>
      <c r="C34" s="2" t="s">
        <v>96</v>
      </c>
      <c r="D34" s="4">
        <v>34200</v>
      </c>
      <c r="E34" s="2" t="s">
        <v>86</v>
      </c>
      <c r="F34" s="2" t="s">
        <v>86</v>
      </c>
      <c r="G34" s="2" t="s">
        <v>60</v>
      </c>
      <c r="H34" s="2" t="s">
        <v>61</v>
      </c>
      <c r="J34" s="2" t="s">
        <v>91</v>
      </c>
      <c r="L34" s="4">
        <v>45614</v>
      </c>
      <c r="M34" s="4">
        <v>45715</v>
      </c>
      <c r="N34" s="2" t="s">
        <v>217</v>
      </c>
      <c r="O34" s="2">
        <v>0.25</v>
      </c>
      <c r="P34" s="2" t="s">
        <v>218</v>
      </c>
      <c r="Q34" s="2" t="s">
        <v>93</v>
      </c>
      <c r="R34" s="2" t="s">
        <v>101</v>
      </c>
      <c r="S34" s="4">
        <v>45614</v>
      </c>
      <c r="T34" s="4">
        <v>45674</v>
      </c>
      <c r="X34" s="4">
        <v>45614</v>
      </c>
      <c r="Y34" s="4">
        <v>45674</v>
      </c>
      <c r="AE34" s="2">
        <v>33</v>
      </c>
      <c r="AF34" s="2" t="s">
        <v>51</v>
      </c>
      <c r="AG34" s="2" t="s">
        <v>52</v>
      </c>
      <c r="AH34" s="2" t="s">
        <v>53</v>
      </c>
      <c r="AI34" s="2" t="s">
        <v>81</v>
      </c>
      <c r="AJ34" s="2" t="s">
        <v>55</v>
      </c>
      <c r="AK34" s="2" t="s">
        <v>219</v>
      </c>
      <c r="AL34" s="2" t="s">
        <v>220</v>
      </c>
      <c r="AM34" s="6">
        <f t="shared" si="0"/>
        <v>8</v>
      </c>
      <c r="AN34" s="2" t="s">
        <v>139</v>
      </c>
      <c r="AO34" s="2" t="s">
        <v>116</v>
      </c>
    </row>
    <row r="35" spans="1:41" x14ac:dyDescent="0.15">
      <c r="A35" s="2" t="s">
        <v>221</v>
      </c>
      <c r="B35" s="2" t="s">
        <v>42</v>
      </c>
      <c r="C35" s="2" t="s">
        <v>43</v>
      </c>
      <c r="D35" s="4">
        <v>36202</v>
      </c>
      <c r="E35" s="2" t="s">
        <v>74</v>
      </c>
      <c r="F35" s="2" t="s">
        <v>109</v>
      </c>
      <c r="G35" s="2" t="s">
        <v>60</v>
      </c>
      <c r="H35" s="2" t="s">
        <v>61</v>
      </c>
      <c r="I35" s="2" t="s">
        <v>110</v>
      </c>
      <c r="J35" s="2" t="s">
        <v>78</v>
      </c>
      <c r="K35" s="2" t="s">
        <v>79</v>
      </c>
      <c r="L35" s="4">
        <v>45614</v>
      </c>
      <c r="O35" s="2">
        <v>1.583333333333333</v>
      </c>
      <c r="P35" s="2" t="s">
        <v>218</v>
      </c>
      <c r="Q35" s="2" t="s">
        <v>49</v>
      </c>
      <c r="R35" s="2" t="s">
        <v>105</v>
      </c>
      <c r="S35" s="4">
        <v>46040</v>
      </c>
      <c r="T35" s="4">
        <v>46404</v>
      </c>
      <c r="U35" s="2">
        <v>12</v>
      </c>
      <c r="X35" s="4">
        <v>45614</v>
      </c>
      <c r="Y35" s="4">
        <v>45674</v>
      </c>
      <c r="Z35" s="4">
        <v>45675</v>
      </c>
      <c r="AA35" s="4">
        <v>46039</v>
      </c>
      <c r="AB35" s="4">
        <v>46040</v>
      </c>
      <c r="AC35" s="4">
        <v>46404</v>
      </c>
      <c r="AE35" s="2">
        <v>27</v>
      </c>
      <c r="AF35" s="2" t="s">
        <v>51</v>
      </c>
      <c r="AG35" s="2" t="s">
        <v>52</v>
      </c>
      <c r="AH35" s="2" t="s">
        <v>53</v>
      </c>
      <c r="AI35" s="2" t="s">
        <v>81</v>
      </c>
      <c r="AJ35" s="2" t="s">
        <v>55</v>
      </c>
      <c r="AK35" s="2" t="s">
        <v>468</v>
      </c>
      <c r="AL35" s="2" t="s">
        <v>222</v>
      </c>
      <c r="AM35" s="6">
        <f t="shared" si="0"/>
        <v>2</v>
      </c>
      <c r="AN35" s="2" t="s">
        <v>72</v>
      </c>
      <c r="AO35" s="2" t="s">
        <v>116</v>
      </c>
    </row>
    <row r="36" spans="1:41" x14ac:dyDescent="0.15">
      <c r="A36" s="2" t="s">
        <v>223</v>
      </c>
      <c r="B36" s="2" t="s">
        <v>42</v>
      </c>
      <c r="C36" s="2" t="s">
        <v>43</v>
      </c>
      <c r="D36" s="4">
        <v>34647</v>
      </c>
      <c r="E36" s="2" t="s">
        <v>121</v>
      </c>
      <c r="F36" s="2" t="s">
        <v>86</v>
      </c>
      <c r="G36" s="2" t="s">
        <v>60</v>
      </c>
      <c r="H36" s="2" t="s">
        <v>61</v>
      </c>
      <c r="I36" s="2" t="s">
        <v>77</v>
      </c>
      <c r="J36" s="2" t="s">
        <v>78</v>
      </c>
      <c r="K36" s="2" t="s">
        <v>79</v>
      </c>
      <c r="L36" s="4">
        <v>45628</v>
      </c>
      <c r="O36" s="2">
        <v>1.583333333333333</v>
      </c>
      <c r="P36" s="2" t="s">
        <v>224</v>
      </c>
      <c r="Q36" s="2" t="s">
        <v>49</v>
      </c>
      <c r="R36" s="2" t="s">
        <v>105</v>
      </c>
      <c r="S36" s="4">
        <v>46055</v>
      </c>
      <c r="T36" s="4">
        <v>46419</v>
      </c>
      <c r="U36" s="2">
        <v>12</v>
      </c>
      <c r="X36" s="4">
        <v>45628</v>
      </c>
      <c r="Y36" s="4">
        <v>45689</v>
      </c>
      <c r="Z36" s="4">
        <v>45690</v>
      </c>
      <c r="AA36" s="4">
        <v>46054</v>
      </c>
      <c r="AB36" s="4">
        <v>46055</v>
      </c>
      <c r="AC36" s="4">
        <v>46419</v>
      </c>
      <c r="AE36" s="2">
        <v>32</v>
      </c>
      <c r="AF36" s="2" t="s">
        <v>64</v>
      </c>
      <c r="AG36" s="2" t="s">
        <v>52</v>
      </c>
      <c r="AH36" s="2" t="s">
        <v>53</v>
      </c>
      <c r="AI36" s="2" t="s">
        <v>54</v>
      </c>
      <c r="AJ36" s="2" t="s">
        <v>55</v>
      </c>
      <c r="AK36" s="2" t="s">
        <v>111</v>
      </c>
      <c r="AL36" s="2" t="s">
        <v>200</v>
      </c>
      <c r="AM36" s="6">
        <f t="shared" si="0"/>
        <v>11</v>
      </c>
      <c r="AN36" s="2" t="s">
        <v>72</v>
      </c>
      <c r="AO36" s="2" t="s">
        <v>116</v>
      </c>
    </row>
    <row r="37" spans="1:41" x14ac:dyDescent="0.15">
      <c r="A37" s="2" t="s">
        <v>225</v>
      </c>
      <c r="B37" s="2" t="s">
        <v>42</v>
      </c>
      <c r="C37" s="2" t="s">
        <v>96</v>
      </c>
      <c r="D37" s="4">
        <v>36907</v>
      </c>
      <c r="E37" s="2" t="s">
        <v>74</v>
      </c>
      <c r="F37" s="2" t="s">
        <v>103</v>
      </c>
      <c r="G37" s="2" t="s">
        <v>118</v>
      </c>
      <c r="H37" s="2" t="s">
        <v>134</v>
      </c>
      <c r="J37" s="2" t="s">
        <v>91</v>
      </c>
      <c r="L37" s="4">
        <v>45691</v>
      </c>
      <c r="M37" s="4">
        <v>45806</v>
      </c>
      <c r="N37" s="2" t="s">
        <v>226</v>
      </c>
      <c r="O37" s="2">
        <v>0.25</v>
      </c>
      <c r="P37" s="2" t="s">
        <v>227</v>
      </c>
      <c r="Q37" s="2" t="s">
        <v>93</v>
      </c>
      <c r="R37" s="2" t="s">
        <v>136</v>
      </c>
      <c r="S37" s="4">
        <v>45691</v>
      </c>
      <c r="T37" s="4">
        <v>45871</v>
      </c>
      <c r="V37" s="4">
        <v>45691</v>
      </c>
      <c r="W37" s="4">
        <v>45871</v>
      </c>
      <c r="AE37" s="2">
        <v>25</v>
      </c>
      <c r="AF37" s="2" t="s">
        <v>51</v>
      </c>
      <c r="AG37" s="2" t="s">
        <v>52</v>
      </c>
      <c r="AH37" s="2" t="s">
        <v>53</v>
      </c>
      <c r="AI37" s="2" t="s">
        <v>81</v>
      </c>
      <c r="AJ37" s="2" t="s">
        <v>55</v>
      </c>
      <c r="AK37" s="2" t="s">
        <v>468</v>
      </c>
      <c r="AL37" s="2" t="s">
        <v>228</v>
      </c>
      <c r="AM37" s="6">
        <f t="shared" si="0"/>
        <v>1</v>
      </c>
      <c r="AN37" s="2" t="s">
        <v>189</v>
      </c>
      <c r="AO37" s="2" t="s">
        <v>229</v>
      </c>
    </row>
    <row r="38" spans="1:41" x14ac:dyDescent="0.15">
      <c r="A38" s="2" t="s">
        <v>230</v>
      </c>
      <c r="B38" s="2" t="s">
        <v>42</v>
      </c>
      <c r="C38" s="2" t="s">
        <v>96</v>
      </c>
      <c r="D38" s="4">
        <v>38209</v>
      </c>
      <c r="E38" s="2" t="s">
        <v>74</v>
      </c>
      <c r="F38" s="2" t="s">
        <v>103</v>
      </c>
      <c r="G38" s="2" t="s">
        <v>118</v>
      </c>
      <c r="H38" s="2" t="s">
        <v>134</v>
      </c>
      <c r="J38" s="2" t="s">
        <v>91</v>
      </c>
      <c r="L38" s="4">
        <v>45691</v>
      </c>
      <c r="M38" s="4">
        <v>45665</v>
      </c>
      <c r="N38" s="2" t="s">
        <v>231</v>
      </c>
      <c r="P38" s="2" t="s">
        <v>227</v>
      </c>
      <c r="Q38" s="2" t="s">
        <v>93</v>
      </c>
      <c r="R38" s="2" t="s">
        <v>136</v>
      </c>
      <c r="S38" s="4">
        <v>45691</v>
      </c>
      <c r="T38" s="4">
        <v>45871</v>
      </c>
      <c r="V38" s="4">
        <v>45691</v>
      </c>
      <c r="W38" s="4">
        <v>45871</v>
      </c>
      <c r="AE38" s="2">
        <v>22</v>
      </c>
      <c r="AF38" s="2" t="s">
        <v>51</v>
      </c>
      <c r="AG38" s="2" t="s">
        <v>52</v>
      </c>
      <c r="AH38" s="2" t="s">
        <v>53</v>
      </c>
      <c r="AI38" s="2" t="s">
        <v>81</v>
      </c>
      <c r="AJ38" s="2" t="s">
        <v>55</v>
      </c>
      <c r="AK38" s="2" t="s">
        <v>468</v>
      </c>
      <c r="AL38" s="2" t="s">
        <v>232</v>
      </c>
      <c r="AM38" s="6">
        <f t="shared" si="0"/>
        <v>8</v>
      </c>
      <c r="AN38" s="2" t="s">
        <v>233</v>
      </c>
      <c r="AO38" s="2" t="s">
        <v>164</v>
      </c>
    </row>
    <row r="39" spans="1:41" x14ac:dyDescent="0.15">
      <c r="A39" s="2" t="s">
        <v>234</v>
      </c>
      <c r="B39" s="2" t="s">
        <v>42</v>
      </c>
      <c r="C39" s="2" t="s">
        <v>57</v>
      </c>
      <c r="D39" s="4">
        <v>35252</v>
      </c>
      <c r="E39" s="2" t="s">
        <v>121</v>
      </c>
      <c r="F39" s="2" t="s">
        <v>86</v>
      </c>
      <c r="G39" s="2" t="s">
        <v>60</v>
      </c>
      <c r="H39" s="2" t="s">
        <v>104</v>
      </c>
      <c r="J39" s="2" t="s">
        <v>467</v>
      </c>
      <c r="K39" s="2" t="s">
        <v>79</v>
      </c>
      <c r="L39" s="4">
        <v>45705</v>
      </c>
      <c r="O39" s="2">
        <v>1.333333333333333</v>
      </c>
      <c r="P39" s="2" t="s">
        <v>235</v>
      </c>
      <c r="Q39" s="2" t="s">
        <v>49</v>
      </c>
      <c r="R39" s="2" t="s">
        <v>98</v>
      </c>
      <c r="S39" s="4">
        <v>45764</v>
      </c>
      <c r="T39" s="4">
        <v>46128</v>
      </c>
      <c r="U39" s="2">
        <v>12</v>
      </c>
      <c r="X39" s="4">
        <v>45705</v>
      </c>
      <c r="Y39" s="4">
        <v>45763</v>
      </c>
      <c r="Z39" s="4">
        <v>45764</v>
      </c>
      <c r="AA39" s="4">
        <v>46128</v>
      </c>
      <c r="AE39" s="2">
        <v>30</v>
      </c>
      <c r="AF39" s="2" t="s">
        <v>64</v>
      </c>
      <c r="AG39" s="2" t="s">
        <v>52</v>
      </c>
      <c r="AH39" s="2" t="s">
        <v>53</v>
      </c>
      <c r="AI39" s="2" t="s">
        <v>54</v>
      </c>
      <c r="AJ39" s="2" t="s">
        <v>55</v>
      </c>
      <c r="AK39" s="2" t="s">
        <v>236</v>
      </c>
      <c r="AL39" s="2" t="s">
        <v>200</v>
      </c>
      <c r="AM39" s="6">
        <f t="shared" si="0"/>
        <v>7</v>
      </c>
      <c r="AN39" s="2" t="s">
        <v>72</v>
      </c>
      <c r="AO39" s="2" t="s">
        <v>238</v>
      </c>
    </row>
    <row r="40" spans="1:41" x14ac:dyDescent="0.15">
      <c r="A40" s="2" t="s">
        <v>239</v>
      </c>
      <c r="B40" s="2" t="s">
        <v>42</v>
      </c>
      <c r="C40" s="2" t="s">
        <v>96</v>
      </c>
      <c r="D40" s="4">
        <v>32302</v>
      </c>
      <c r="E40" s="2" t="s">
        <v>240</v>
      </c>
      <c r="G40" s="2" t="s">
        <v>60</v>
      </c>
      <c r="H40" s="2" t="s">
        <v>104</v>
      </c>
      <c r="J40" s="2" t="s">
        <v>91</v>
      </c>
      <c r="L40" s="4">
        <v>45712</v>
      </c>
      <c r="M40" s="4">
        <v>45900</v>
      </c>
      <c r="N40" s="2" t="s">
        <v>241</v>
      </c>
      <c r="O40" s="2">
        <v>0.5</v>
      </c>
      <c r="P40" s="2" t="s">
        <v>242</v>
      </c>
      <c r="Q40" s="2" t="s">
        <v>93</v>
      </c>
      <c r="R40" s="2" t="s">
        <v>98</v>
      </c>
      <c r="S40" s="4">
        <v>45771</v>
      </c>
      <c r="T40" s="4">
        <v>46135</v>
      </c>
      <c r="X40" s="4">
        <v>45712</v>
      </c>
      <c r="Y40" s="4">
        <v>45770</v>
      </c>
      <c r="Z40" s="4">
        <v>45771</v>
      </c>
      <c r="AA40" s="4">
        <v>46135</v>
      </c>
      <c r="AE40" s="2">
        <v>38</v>
      </c>
      <c r="AF40" s="2" t="s">
        <v>51</v>
      </c>
      <c r="AG40" s="2" t="s">
        <v>52</v>
      </c>
      <c r="AH40" s="2" t="s">
        <v>53</v>
      </c>
      <c r="AI40" s="2" t="s">
        <v>54</v>
      </c>
      <c r="AJ40" s="2" t="s">
        <v>55</v>
      </c>
      <c r="AK40" s="2" t="s">
        <v>243</v>
      </c>
      <c r="AL40" s="2" t="s">
        <v>244</v>
      </c>
      <c r="AM40" s="6">
        <f t="shared" si="0"/>
        <v>6</v>
      </c>
      <c r="AN40" s="2" t="s">
        <v>72</v>
      </c>
      <c r="AO40" s="2" t="s">
        <v>116</v>
      </c>
    </row>
    <row r="41" spans="1:41" x14ac:dyDescent="0.15">
      <c r="A41" s="2" t="s">
        <v>245</v>
      </c>
      <c r="B41" s="2" t="s">
        <v>42</v>
      </c>
      <c r="C41" s="2" t="s">
        <v>96</v>
      </c>
      <c r="D41" s="4">
        <v>37337</v>
      </c>
      <c r="E41" s="2" t="s">
        <v>74</v>
      </c>
      <c r="F41" s="2" t="s">
        <v>103</v>
      </c>
      <c r="G41" s="2" t="s">
        <v>60</v>
      </c>
      <c r="H41" s="2" t="s">
        <v>180</v>
      </c>
      <c r="J41" s="2" t="s">
        <v>91</v>
      </c>
      <c r="L41" s="4">
        <v>45740</v>
      </c>
      <c r="M41" s="4">
        <v>45930</v>
      </c>
      <c r="N41" s="2" t="s">
        <v>246</v>
      </c>
      <c r="O41" s="2">
        <v>0.5</v>
      </c>
      <c r="P41" s="2" t="s">
        <v>247</v>
      </c>
      <c r="Q41" s="2" t="s">
        <v>93</v>
      </c>
      <c r="R41" s="2" t="s">
        <v>98</v>
      </c>
      <c r="S41" s="4">
        <v>45801</v>
      </c>
      <c r="T41" s="4">
        <v>46165</v>
      </c>
      <c r="X41" s="4">
        <v>45740</v>
      </c>
      <c r="Y41" s="4">
        <v>45800</v>
      </c>
      <c r="Z41" s="4">
        <v>45801</v>
      </c>
      <c r="AA41" s="4">
        <v>46165</v>
      </c>
      <c r="AE41" s="2">
        <v>24</v>
      </c>
      <c r="AF41" s="2" t="s">
        <v>51</v>
      </c>
      <c r="AG41" s="2" t="s">
        <v>52</v>
      </c>
      <c r="AH41" s="2" t="s">
        <v>53</v>
      </c>
      <c r="AI41" s="2" t="s">
        <v>81</v>
      </c>
      <c r="AJ41" s="2" t="s">
        <v>55</v>
      </c>
      <c r="AK41" s="2" t="s">
        <v>468</v>
      </c>
      <c r="AL41" s="2" t="s">
        <v>248</v>
      </c>
      <c r="AM41" s="6">
        <f t="shared" si="0"/>
        <v>3</v>
      </c>
      <c r="AN41" s="2" t="s">
        <v>249</v>
      </c>
      <c r="AO41" s="2" t="s">
        <v>250</v>
      </c>
    </row>
    <row r="42" spans="1:41" x14ac:dyDescent="0.15">
      <c r="A42" s="2" t="s">
        <v>251</v>
      </c>
      <c r="B42" s="2" t="s">
        <v>42</v>
      </c>
      <c r="C42" s="2" t="s">
        <v>96</v>
      </c>
      <c r="D42" s="4">
        <v>37820</v>
      </c>
      <c r="E42" s="2" t="s">
        <v>74</v>
      </c>
      <c r="F42" s="2" t="s">
        <v>103</v>
      </c>
      <c r="G42" s="2" t="s">
        <v>60</v>
      </c>
      <c r="H42" s="2" t="s">
        <v>180</v>
      </c>
      <c r="J42" s="2" t="s">
        <v>91</v>
      </c>
      <c r="L42" s="4">
        <v>45740</v>
      </c>
      <c r="M42" s="4">
        <v>45853</v>
      </c>
      <c r="N42" s="2" t="s">
        <v>252</v>
      </c>
      <c r="O42" s="2">
        <v>0.25</v>
      </c>
      <c r="P42" s="2" t="s">
        <v>247</v>
      </c>
      <c r="Q42" s="2" t="s">
        <v>93</v>
      </c>
      <c r="R42" s="2" t="s">
        <v>98</v>
      </c>
      <c r="S42" s="4">
        <v>45801</v>
      </c>
      <c r="T42" s="4">
        <v>46165</v>
      </c>
      <c r="X42" s="4">
        <v>45740</v>
      </c>
      <c r="Y42" s="4">
        <v>45800</v>
      </c>
      <c r="Z42" s="4">
        <v>45801</v>
      </c>
      <c r="AA42" s="4">
        <v>46165</v>
      </c>
      <c r="AE42" s="2">
        <v>23</v>
      </c>
      <c r="AF42" s="2" t="s">
        <v>51</v>
      </c>
      <c r="AG42" s="2" t="s">
        <v>52</v>
      </c>
      <c r="AH42" s="2" t="s">
        <v>53</v>
      </c>
      <c r="AI42" s="2" t="s">
        <v>81</v>
      </c>
      <c r="AJ42" s="2" t="s">
        <v>55</v>
      </c>
      <c r="AK42" s="2" t="s">
        <v>468</v>
      </c>
      <c r="AL42" s="2" t="s">
        <v>253</v>
      </c>
      <c r="AM42" s="6">
        <f t="shared" si="0"/>
        <v>7</v>
      </c>
      <c r="AN42" s="2" t="s">
        <v>254</v>
      </c>
      <c r="AO42" s="2" t="s">
        <v>256</v>
      </c>
    </row>
    <row r="43" spans="1:41" x14ac:dyDescent="0.15">
      <c r="A43" s="2" t="s">
        <v>257</v>
      </c>
      <c r="B43" s="2" t="s">
        <v>42</v>
      </c>
      <c r="C43" s="2" t="s">
        <v>96</v>
      </c>
      <c r="D43" s="4">
        <v>32907</v>
      </c>
      <c r="E43" s="2" t="s">
        <v>121</v>
      </c>
      <c r="F43" s="2" t="s">
        <v>86</v>
      </c>
      <c r="G43" s="2" t="s">
        <v>60</v>
      </c>
      <c r="H43" s="2" t="s">
        <v>104</v>
      </c>
      <c r="J43" s="2" t="s">
        <v>91</v>
      </c>
      <c r="L43" s="4">
        <v>45750</v>
      </c>
      <c r="M43" s="4">
        <v>45891</v>
      </c>
      <c r="N43" s="2" t="s">
        <v>258</v>
      </c>
      <c r="O43" s="2">
        <v>0.33333333333333331</v>
      </c>
      <c r="P43" s="2" t="s">
        <v>259</v>
      </c>
      <c r="Q43" s="2" t="s">
        <v>93</v>
      </c>
      <c r="R43" s="2" t="s">
        <v>98</v>
      </c>
      <c r="S43" s="4">
        <v>45811</v>
      </c>
      <c r="T43" s="4">
        <v>46175</v>
      </c>
      <c r="X43" s="4">
        <v>45750</v>
      </c>
      <c r="Y43" s="4">
        <v>45810</v>
      </c>
      <c r="Z43" s="4">
        <v>45811</v>
      </c>
      <c r="AA43" s="4">
        <v>46175</v>
      </c>
      <c r="AE43" s="2">
        <v>36</v>
      </c>
      <c r="AF43" s="2" t="s">
        <v>64</v>
      </c>
      <c r="AG43" s="2" t="s">
        <v>52</v>
      </c>
      <c r="AH43" s="2" t="s">
        <v>53</v>
      </c>
      <c r="AI43" s="2" t="s">
        <v>54</v>
      </c>
      <c r="AJ43" s="2" t="s">
        <v>55</v>
      </c>
      <c r="AK43" s="2" t="s">
        <v>260</v>
      </c>
      <c r="AL43" s="2" t="s">
        <v>261</v>
      </c>
      <c r="AM43" s="6">
        <f t="shared" si="0"/>
        <v>2</v>
      </c>
      <c r="AN43" s="2" t="s">
        <v>72</v>
      </c>
      <c r="AO43" s="2" t="s">
        <v>238</v>
      </c>
    </row>
    <row r="44" spans="1:41" x14ac:dyDescent="0.15">
      <c r="A44" s="2" t="s">
        <v>262</v>
      </c>
      <c r="B44" s="2" t="s">
        <v>42</v>
      </c>
      <c r="C44" s="2" t="s">
        <v>96</v>
      </c>
      <c r="D44" s="4">
        <v>36441</v>
      </c>
      <c r="E44" s="2" t="s">
        <v>74</v>
      </c>
      <c r="F44" s="2" t="s">
        <v>109</v>
      </c>
      <c r="G44" s="2" t="s">
        <v>60</v>
      </c>
      <c r="H44" s="2" t="s">
        <v>61</v>
      </c>
      <c r="J44" s="2" t="s">
        <v>91</v>
      </c>
      <c r="L44" s="4">
        <v>45755</v>
      </c>
      <c r="M44" s="4">
        <v>45760</v>
      </c>
      <c r="N44" s="2" t="s">
        <v>258</v>
      </c>
      <c r="O44" s="2">
        <v>0</v>
      </c>
      <c r="P44" s="2" t="s">
        <v>263</v>
      </c>
      <c r="Q44" s="2" t="s">
        <v>93</v>
      </c>
      <c r="R44" s="2" t="s">
        <v>101</v>
      </c>
      <c r="S44" s="4">
        <v>45755</v>
      </c>
      <c r="T44" s="4">
        <v>45815</v>
      </c>
      <c r="X44" s="4">
        <v>45755</v>
      </c>
      <c r="Y44" s="4">
        <v>45815</v>
      </c>
      <c r="AE44" s="2">
        <v>27</v>
      </c>
      <c r="AF44" s="2" t="s">
        <v>51</v>
      </c>
      <c r="AG44" s="2" t="s">
        <v>52</v>
      </c>
      <c r="AH44" s="2" t="s">
        <v>53</v>
      </c>
      <c r="AI44" s="2" t="s">
        <v>81</v>
      </c>
      <c r="AJ44" s="2" t="s">
        <v>55</v>
      </c>
      <c r="AK44" s="2" t="s">
        <v>264</v>
      </c>
      <c r="AL44" s="2" t="s">
        <v>147</v>
      </c>
      <c r="AM44" s="6">
        <f t="shared" si="0"/>
        <v>10</v>
      </c>
      <c r="AN44" s="2" t="s">
        <v>72</v>
      </c>
      <c r="AO44" s="2" t="s">
        <v>208</v>
      </c>
    </row>
    <row r="45" spans="1:41" x14ac:dyDescent="0.15">
      <c r="A45" s="2" t="s">
        <v>265</v>
      </c>
      <c r="B45" s="2" t="s">
        <v>42</v>
      </c>
      <c r="C45" s="2" t="s">
        <v>43</v>
      </c>
      <c r="D45" s="4">
        <v>37221</v>
      </c>
      <c r="E45" s="2" t="s">
        <v>74</v>
      </c>
      <c r="F45" s="2" t="s">
        <v>109</v>
      </c>
      <c r="G45" s="2" t="s">
        <v>60</v>
      </c>
      <c r="H45" s="2" t="s">
        <v>104</v>
      </c>
      <c r="I45" s="2" t="s">
        <v>110</v>
      </c>
      <c r="J45" s="2" t="s">
        <v>78</v>
      </c>
      <c r="K45" s="2" t="s">
        <v>79</v>
      </c>
      <c r="L45" s="4">
        <v>45785</v>
      </c>
      <c r="O45" s="2">
        <v>1.166666666666667</v>
      </c>
      <c r="P45" s="2" t="s">
        <v>266</v>
      </c>
      <c r="Q45" s="2" t="s">
        <v>49</v>
      </c>
      <c r="R45" s="2" t="s">
        <v>98</v>
      </c>
      <c r="S45" s="4">
        <v>45846</v>
      </c>
      <c r="T45" s="4">
        <v>46210</v>
      </c>
      <c r="U45" s="2">
        <v>12</v>
      </c>
      <c r="X45" s="4">
        <v>45785</v>
      </c>
      <c r="Y45" s="4">
        <v>45845</v>
      </c>
      <c r="Z45" s="4">
        <v>45846</v>
      </c>
      <c r="AA45" s="4">
        <v>46210</v>
      </c>
      <c r="AE45" s="2">
        <v>25</v>
      </c>
      <c r="AF45" s="2" t="s">
        <v>64</v>
      </c>
      <c r="AG45" s="2" t="s">
        <v>52</v>
      </c>
      <c r="AH45" s="2" t="s">
        <v>53</v>
      </c>
      <c r="AI45" s="2" t="s">
        <v>81</v>
      </c>
      <c r="AJ45" s="2" t="s">
        <v>55</v>
      </c>
      <c r="AK45" s="2" t="s">
        <v>267</v>
      </c>
      <c r="AL45" s="2" t="s">
        <v>147</v>
      </c>
      <c r="AM45" s="6">
        <f t="shared" si="0"/>
        <v>11</v>
      </c>
      <c r="AN45" s="2" t="s">
        <v>72</v>
      </c>
      <c r="AO45" s="2" t="s">
        <v>280</v>
      </c>
    </row>
    <row r="46" spans="1:41" x14ac:dyDescent="0.15">
      <c r="A46" s="2" t="s">
        <v>268</v>
      </c>
      <c r="B46" s="2" t="s">
        <v>42</v>
      </c>
      <c r="C46" s="2" t="s">
        <v>96</v>
      </c>
      <c r="D46" s="4">
        <v>32846</v>
      </c>
      <c r="E46" s="2" t="s">
        <v>74</v>
      </c>
      <c r="F46" s="2" t="s">
        <v>109</v>
      </c>
      <c r="G46" s="2" t="s">
        <v>60</v>
      </c>
      <c r="H46" s="2" t="s">
        <v>76</v>
      </c>
      <c r="J46" s="2" t="s">
        <v>91</v>
      </c>
      <c r="L46" s="4">
        <v>45789</v>
      </c>
      <c r="M46" s="4">
        <v>45850</v>
      </c>
      <c r="N46" s="2" t="s">
        <v>269</v>
      </c>
      <c r="O46" s="2">
        <v>0.16666666666666671</v>
      </c>
      <c r="P46" s="2" t="s">
        <v>270</v>
      </c>
      <c r="Q46" s="2" t="s">
        <v>93</v>
      </c>
      <c r="R46" s="2" t="s">
        <v>101</v>
      </c>
      <c r="S46" s="4">
        <v>45789</v>
      </c>
      <c r="T46" s="4">
        <v>45849</v>
      </c>
      <c r="X46" s="4">
        <v>45789</v>
      </c>
      <c r="Y46" s="4">
        <v>45849</v>
      </c>
      <c r="AE46" s="2">
        <v>37</v>
      </c>
      <c r="AF46" s="2" t="s">
        <v>51</v>
      </c>
      <c r="AG46" s="2" t="s">
        <v>52</v>
      </c>
      <c r="AH46" s="2" t="s">
        <v>53</v>
      </c>
      <c r="AI46" s="2" t="s">
        <v>54</v>
      </c>
      <c r="AJ46" s="2" t="s">
        <v>55</v>
      </c>
      <c r="AK46" s="2" t="s">
        <v>468</v>
      </c>
      <c r="AL46" s="2" t="s">
        <v>193</v>
      </c>
      <c r="AM46" s="6">
        <f t="shared" si="0"/>
        <v>12</v>
      </c>
      <c r="AN46" s="2" t="s">
        <v>254</v>
      </c>
      <c r="AO46" s="2" t="s">
        <v>237</v>
      </c>
    </row>
    <row r="47" spans="1:41" x14ac:dyDescent="0.15">
      <c r="A47" s="2" t="s">
        <v>271</v>
      </c>
      <c r="B47" s="2" t="s">
        <v>42</v>
      </c>
      <c r="C47" s="2" t="s">
        <v>43</v>
      </c>
      <c r="D47" s="4">
        <v>37554</v>
      </c>
      <c r="E47" s="2" t="s">
        <v>74</v>
      </c>
      <c r="F47" s="2" t="s">
        <v>90</v>
      </c>
      <c r="G47" s="2" t="s">
        <v>60</v>
      </c>
      <c r="H47" s="2" t="s">
        <v>180</v>
      </c>
      <c r="J47" s="2" t="s">
        <v>467</v>
      </c>
      <c r="K47" s="2" t="s">
        <v>79</v>
      </c>
      <c r="L47" s="4">
        <v>45789</v>
      </c>
      <c r="M47" s="4">
        <v>46140</v>
      </c>
      <c r="O47" s="2">
        <v>0.91666666666666663</v>
      </c>
      <c r="P47" s="2" t="s">
        <v>270</v>
      </c>
      <c r="Q47" s="2" t="s">
        <v>93</v>
      </c>
      <c r="R47" s="2" t="s">
        <v>98</v>
      </c>
      <c r="S47" s="4">
        <v>45850</v>
      </c>
      <c r="T47" s="4">
        <v>46214</v>
      </c>
      <c r="U47" s="2">
        <v>12</v>
      </c>
      <c r="X47" s="4">
        <v>45789</v>
      </c>
      <c r="Y47" s="4">
        <v>45849</v>
      </c>
      <c r="Z47" s="4">
        <v>45850</v>
      </c>
      <c r="AA47" s="4">
        <v>46214</v>
      </c>
      <c r="AE47" s="2">
        <v>24</v>
      </c>
      <c r="AF47" s="2" t="s">
        <v>51</v>
      </c>
      <c r="AG47" s="2" t="s">
        <v>52</v>
      </c>
      <c r="AH47" s="2" t="s">
        <v>53</v>
      </c>
      <c r="AI47" s="2" t="s">
        <v>81</v>
      </c>
      <c r="AJ47" s="2" t="s">
        <v>55</v>
      </c>
      <c r="AK47" s="2" t="s">
        <v>272</v>
      </c>
      <c r="AL47" s="2" t="s">
        <v>273</v>
      </c>
      <c r="AM47" s="6">
        <f t="shared" si="0"/>
        <v>10</v>
      </c>
      <c r="AN47" s="2" t="s">
        <v>274</v>
      </c>
      <c r="AO47" s="2" t="s">
        <v>116</v>
      </c>
    </row>
    <row r="48" spans="1:41" x14ac:dyDescent="0.15">
      <c r="A48" s="2" t="s">
        <v>275</v>
      </c>
      <c r="B48" s="2" t="s">
        <v>42</v>
      </c>
      <c r="C48" s="2" t="s">
        <v>96</v>
      </c>
      <c r="D48" s="4">
        <v>34242</v>
      </c>
      <c r="E48" s="2" t="s">
        <v>117</v>
      </c>
      <c r="F48" s="2" t="s">
        <v>109</v>
      </c>
      <c r="G48" s="2" t="s">
        <v>60</v>
      </c>
      <c r="H48" s="2" t="s">
        <v>104</v>
      </c>
      <c r="J48" s="2" t="s">
        <v>91</v>
      </c>
      <c r="L48" s="4">
        <v>45790</v>
      </c>
      <c r="M48" s="4">
        <v>45797</v>
      </c>
      <c r="N48" s="2" t="s">
        <v>276</v>
      </c>
      <c r="O48" s="2">
        <v>0</v>
      </c>
      <c r="P48" s="2" t="s">
        <v>277</v>
      </c>
      <c r="Q48" s="2" t="s">
        <v>93</v>
      </c>
      <c r="R48" s="2" t="s">
        <v>101</v>
      </c>
      <c r="S48" s="4">
        <v>45790</v>
      </c>
      <c r="T48" s="4">
        <v>45850</v>
      </c>
      <c r="X48" s="4">
        <v>45790</v>
      </c>
      <c r="Y48" s="4">
        <v>45850</v>
      </c>
      <c r="AE48" s="2">
        <v>33</v>
      </c>
      <c r="AF48" s="2" t="s">
        <v>64</v>
      </c>
      <c r="AG48" s="2" t="s">
        <v>52</v>
      </c>
      <c r="AH48" s="2" t="s">
        <v>53</v>
      </c>
      <c r="AI48" s="2" t="s">
        <v>54</v>
      </c>
      <c r="AJ48" s="2" t="s">
        <v>55</v>
      </c>
      <c r="AK48" s="2" t="s">
        <v>278</v>
      </c>
      <c r="AL48" s="2" t="s">
        <v>279</v>
      </c>
      <c r="AM48" s="6">
        <f t="shared" si="0"/>
        <v>9</v>
      </c>
      <c r="AN48" s="2" t="s">
        <v>72</v>
      </c>
      <c r="AO48" s="2" t="s">
        <v>280</v>
      </c>
    </row>
    <row r="49" spans="1:41" x14ac:dyDescent="0.15">
      <c r="A49" s="2" t="s">
        <v>281</v>
      </c>
      <c r="B49" s="2" t="s">
        <v>42</v>
      </c>
      <c r="C49" s="2" t="s">
        <v>43</v>
      </c>
      <c r="D49" s="4">
        <v>37341</v>
      </c>
      <c r="E49" s="2" t="s">
        <v>282</v>
      </c>
      <c r="G49" s="2" t="s">
        <v>60</v>
      </c>
      <c r="H49" s="2" t="s">
        <v>180</v>
      </c>
      <c r="I49" s="2" t="s">
        <v>181</v>
      </c>
      <c r="J49" s="2" t="s">
        <v>175</v>
      </c>
      <c r="K49" s="2" t="s">
        <v>175</v>
      </c>
      <c r="L49" s="4">
        <v>45799</v>
      </c>
      <c r="O49" s="2">
        <v>1.083333333333333</v>
      </c>
      <c r="P49" s="2" t="s">
        <v>283</v>
      </c>
      <c r="Q49" s="2" t="s">
        <v>49</v>
      </c>
      <c r="R49" s="2" t="s">
        <v>98</v>
      </c>
      <c r="S49" s="4">
        <v>45860</v>
      </c>
      <c r="T49" s="4">
        <v>46224</v>
      </c>
      <c r="U49" s="2">
        <v>12</v>
      </c>
      <c r="X49" s="4">
        <v>45799</v>
      </c>
      <c r="Y49" s="4">
        <v>45859</v>
      </c>
      <c r="Z49" s="4">
        <v>45860</v>
      </c>
      <c r="AA49" s="4">
        <v>46224</v>
      </c>
      <c r="AE49" s="2">
        <v>24</v>
      </c>
      <c r="AF49" s="2" t="s">
        <v>64</v>
      </c>
      <c r="AG49" s="2" t="s">
        <v>52</v>
      </c>
      <c r="AH49" s="2" t="s">
        <v>53</v>
      </c>
      <c r="AI49" s="2" t="s">
        <v>81</v>
      </c>
      <c r="AJ49" s="2" t="s">
        <v>55</v>
      </c>
      <c r="AK49" s="2" t="s">
        <v>111</v>
      </c>
      <c r="AL49" s="2" t="s">
        <v>284</v>
      </c>
      <c r="AM49" s="6">
        <f t="shared" si="0"/>
        <v>3</v>
      </c>
      <c r="AN49" s="2" t="s">
        <v>285</v>
      </c>
      <c r="AO49" s="2" t="s">
        <v>238</v>
      </c>
    </row>
    <row r="50" spans="1:41" x14ac:dyDescent="0.15">
      <c r="A50" s="2" t="s">
        <v>286</v>
      </c>
      <c r="B50" s="2" t="s">
        <v>42</v>
      </c>
      <c r="C50" s="2" t="s">
        <v>43</v>
      </c>
      <c r="D50" s="4">
        <v>36998</v>
      </c>
      <c r="E50" s="2" t="s">
        <v>282</v>
      </c>
      <c r="G50" s="2" t="s">
        <v>60</v>
      </c>
      <c r="H50" s="2" t="s">
        <v>180</v>
      </c>
      <c r="I50" s="2" t="s">
        <v>181</v>
      </c>
      <c r="J50" s="2" t="s">
        <v>175</v>
      </c>
      <c r="K50" s="2" t="s">
        <v>175</v>
      </c>
      <c r="L50" s="4">
        <v>45799</v>
      </c>
      <c r="O50" s="2">
        <v>1.083333333333333</v>
      </c>
      <c r="P50" s="2" t="s">
        <v>283</v>
      </c>
      <c r="Q50" s="2" t="s">
        <v>49</v>
      </c>
      <c r="R50" s="2" t="s">
        <v>98</v>
      </c>
      <c r="S50" s="4">
        <v>45860</v>
      </c>
      <c r="T50" s="4">
        <v>46224</v>
      </c>
      <c r="U50" s="2">
        <v>12</v>
      </c>
      <c r="X50" s="4">
        <v>45799</v>
      </c>
      <c r="Y50" s="4">
        <v>45859</v>
      </c>
      <c r="Z50" s="4">
        <v>45860</v>
      </c>
      <c r="AA50" s="4">
        <v>46224</v>
      </c>
      <c r="AE50" s="2">
        <v>25</v>
      </c>
      <c r="AF50" s="2" t="s">
        <v>64</v>
      </c>
      <c r="AG50" s="2" t="s">
        <v>52</v>
      </c>
      <c r="AH50" s="2" t="s">
        <v>53</v>
      </c>
      <c r="AI50" s="2" t="s">
        <v>81</v>
      </c>
      <c r="AJ50" s="2" t="s">
        <v>55</v>
      </c>
      <c r="AK50" s="2" t="s">
        <v>287</v>
      </c>
      <c r="AL50" s="2" t="s">
        <v>244</v>
      </c>
      <c r="AM50" s="6">
        <f t="shared" si="0"/>
        <v>4</v>
      </c>
      <c r="AN50" s="2" t="s">
        <v>72</v>
      </c>
      <c r="AO50" s="2" t="s">
        <v>116</v>
      </c>
    </row>
    <row r="51" spans="1:41" x14ac:dyDescent="0.15">
      <c r="A51" s="2" t="s">
        <v>288</v>
      </c>
      <c r="B51" s="2" t="s">
        <v>42</v>
      </c>
      <c r="C51" s="2" t="s">
        <v>43</v>
      </c>
      <c r="D51" s="4">
        <v>36902</v>
      </c>
      <c r="E51" s="2" t="s">
        <v>117</v>
      </c>
      <c r="F51" s="2" t="s">
        <v>109</v>
      </c>
      <c r="G51" s="2" t="s">
        <v>60</v>
      </c>
      <c r="H51" s="2" t="s">
        <v>180</v>
      </c>
      <c r="I51" s="2" t="s">
        <v>110</v>
      </c>
      <c r="J51" s="2" t="s">
        <v>78</v>
      </c>
      <c r="K51" s="2" t="s">
        <v>79</v>
      </c>
      <c r="L51" s="4">
        <v>45817</v>
      </c>
      <c r="O51" s="2">
        <v>1</v>
      </c>
      <c r="P51" s="2" t="s">
        <v>289</v>
      </c>
      <c r="Q51" s="2" t="s">
        <v>49</v>
      </c>
      <c r="R51" s="2" t="s">
        <v>98</v>
      </c>
      <c r="S51" s="4">
        <v>45878</v>
      </c>
      <c r="T51" s="4">
        <v>45874</v>
      </c>
      <c r="U51" s="2">
        <v>0</v>
      </c>
      <c r="X51" s="4">
        <v>45817</v>
      </c>
      <c r="Y51" s="4">
        <v>45877</v>
      </c>
      <c r="Z51" s="4">
        <v>45878</v>
      </c>
      <c r="AA51" s="4">
        <v>46242</v>
      </c>
      <c r="AE51" s="2">
        <v>25</v>
      </c>
      <c r="AF51" s="2" t="s">
        <v>51</v>
      </c>
      <c r="AG51" s="2" t="s">
        <v>52</v>
      </c>
      <c r="AH51" s="2" t="s">
        <v>53</v>
      </c>
      <c r="AI51" s="2" t="s">
        <v>81</v>
      </c>
      <c r="AJ51" s="2" t="s">
        <v>55</v>
      </c>
      <c r="AK51" s="2" t="s">
        <v>468</v>
      </c>
      <c r="AL51" s="2" t="s">
        <v>290</v>
      </c>
      <c r="AM51" s="6">
        <f t="shared" si="0"/>
        <v>1</v>
      </c>
      <c r="AN51" s="2" t="s">
        <v>154</v>
      </c>
      <c r="AO51" s="2" t="s">
        <v>250</v>
      </c>
    </row>
    <row r="52" spans="1:41" x14ac:dyDescent="0.15">
      <c r="A52" s="2" t="s">
        <v>291</v>
      </c>
      <c r="B52" s="2" t="s">
        <v>42</v>
      </c>
      <c r="C52" s="2" t="s">
        <v>96</v>
      </c>
      <c r="D52" s="4">
        <v>35674</v>
      </c>
      <c r="E52" s="2" t="s">
        <v>117</v>
      </c>
      <c r="F52" s="2" t="s">
        <v>109</v>
      </c>
      <c r="G52" s="2" t="s">
        <v>60</v>
      </c>
      <c r="H52" s="2" t="s">
        <v>180</v>
      </c>
      <c r="J52" s="2" t="s">
        <v>78</v>
      </c>
      <c r="L52" s="4">
        <v>45824</v>
      </c>
      <c r="M52" s="4">
        <v>46066</v>
      </c>
      <c r="N52" s="2" t="s">
        <v>292</v>
      </c>
      <c r="O52" s="2">
        <v>0.58333333333333337</v>
      </c>
      <c r="P52" s="2" t="s">
        <v>293</v>
      </c>
      <c r="Q52" s="2" t="s">
        <v>93</v>
      </c>
      <c r="R52" s="2" t="s">
        <v>98</v>
      </c>
      <c r="S52" s="4">
        <v>45885</v>
      </c>
      <c r="T52" s="4">
        <v>46249</v>
      </c>
      <c r="U52" s="2">
        <v>12</v>
      </c>
      <c r="X52" s="4">
        <v>45824</v>
      </c>
      <c r="Y52" s="4">
        <v>45884</v>
      </c>
      <c r="Z52" s="4">
        <v>45885</v>
      </c>
      <c r="AA52" s="4">
        <v>46249</v>
      </c>
      <c r="AE52" s="2">
        <v>29</v>
      </c>
      <c r="AF52" s="2" t="s">
        <v>64</v>
      </c>
      <c r="AG52" s="2" t="s">
        <v>52</v>
      </c>
      <c r="AH52" s="2" t="s">
        <v>53</v>
      </c>
      <c r="AI52" s="2" t="s">
        <v>81</v>
      </c>
      <c r="AJ52" s="2" t="s">
        <v>55</v>
      </c>
      <c r="AK52" s="2" t="s">
        <v>111</v>
      </c>
      <c r="AL52" s="2" t="s">
        <v>200</v>
      </c>
      <c r="AM52" s="6">
        <f t="shared" si="0"/>
        <v>9</v>
      </c>
      <c r="AN52" s="2" t="s">
        <v>72</v>
      </c>
      <c r="AO52" s="2" t="s">
        <v>88</v>
      </c>
    </row>
    <row r="53" spans="1:41" x14ac:dyDescent="0.15">
      <c r="A53" s="2" t="s">
        <v>294</v>
      </c>
      <c r="B53" s="2" t="s">
        <v>42</v>
      </c>
      <c r="C53" s="2" t="s">
        <v>43</v>
      </c>
      <c r="D53" s="4">
        <v>34501</v>
      </c>
      <c r="E53" s="2" t="s">
        <v>86</v>
      </c>
      <c r="F53" s="2" t="s">
        <v>86</v>
      </c>
      <c r="G53" s="2" t="s">
        <v>295</v>
      </c>
      <c r="H53" s="2" t="s">
        <v>61</v>
      </c>
      <c r="I53" s="2" t="s">
        <v>77</v>
      </c>
      <c r="J53" s="2" t="s">
        <v>78</v>
      </c>
      <c r="K53" s="2" t="s">
        <v>79</v>
      </c>
      <c r="L53" s="4">
        <v>45831</v>
      </c>
      <c r="O53" s="2">
        <v>1</v>
      </c>
      <c r="P53" s="2" t="s">
        <v>296</v>
      </c>
      <c r="Q53" s="2" t="s">
        <v>49</v>
      </c>
      <c r="R53" s="2" t="s">
        <v>98</v>
      </c>
      <c r="S53" s="4">
        <v>45892</v>
      </c>
      <c r="T53" s="4">
        <v>46256</v>
      </c>
      <c r="U53" s="2">
        <v>12</v>
      </c>
      <c r="X53" s="4">
        <v>45831</v>
      </c>
      <c r="Y53" s="4">
        <v>45891</v>
      </c>
      <c r="Z53" s="4">
        <v>45892</v>
      </c>
      <c r="AA53" s="4">
        <v>46256</v>
      </c>
      <c r="AE53" s="2">
        <v>32</v>
      </c>
      <c r="AF53" s="2" t="s">
        <v>51</v>
      </c>
      <c r="AG53" s="2" t="s">
        <v>52</v>
      </c>
      <c r="AH53" s="2" t="s">
        <v>53</v>
      </c>
      <c r="AI53" s="2" t="s">
        <v>54</v>
      </c>
      <c r="AJ53" s="2" t="s">
        <v>55</v>
      </c>
      <c r="AK53" s="2" t="s">
        <v>468</v>
      </c>
      <c r="AL53" s="2" t="s">
        <v>297</v>
      </c>
      <c r="AM53" s="6">
        <f t="shared" si="0"/>
        <v>6</v>
      </c>
      <c r="AN53" s="2" t="s">
        <v>72</v>
      </c>
      <c r="AO53" s="2" t="s">
        <v>155</v>
      </c>
    </row>
    <row r="54" spans="1:41" x14ac:dyDescent="0.15">
      <c r="A54" s="2" t="s">
        <v>298</v>
      </c>
      <c r="B54" s="2" t="s">
        <v>42</v>
      </c>
      <c r="C54" s="2" t="s">
        <v>96</v>
      </c>
      <c r="D54" s="4">
        <v>38331</v>
      </c>
      <c r="E54" s="2" t="s">
        <v>58</v>
      </c>
      <c r="F54" s="2" t="s">
        <v>58</v>
      </c>
      <c r="G54" s="2" t="s">
        <v>118</v>
      </c>
      <c r="H54" s="2" t="s">
        <v>134</v>
      </c>
      <c r="J54" s="2" t="s">
        <v>62</v>
      </c>
      <c r="L54" s="4">
        <v>45832</v>
      </c>
      <c r="M54" s="4">
        <v>45897</v>
      </c>
      <c r="N54" s="2" t="s">
        <v>299</v>
      </c>
      <c r="O54" s="2">
        <v>0.16666666666666671</v>
      </c>
      <c r="P54" s="2" t="s">
        <v>300</v>
      </c>
      <c r="Q54" s="2" t="s">
        <v>93</v>
      </c>
      <c r="R54" s="2" t="s">
        <v>136</v>
      </c>
      <c r="S54" s="4">
        <v>45832</v>
      </c>
      <c r="T54" s="4">
        <v>45892</v>
      </c>
      <c r="V54" s="4">
        <v>45832</v>
      </c>
      <c r="W54" s="4">
        <v>45892</v>
      </c>
      <c r="AE54" s="2">
        <v>22</v>
      </c>
      <c r="AF54" s="2" t="s">
        <v>64</v>
      </c>
      <c r="AG54" s="2" t="s">
        <v>52</v>
      </c>
      <c r="AH54" s="2" t="s">
        <v>53</v>
      </c>
      <c r="AI54" s="2" t="s">
        <v>81</v>
      </c>
      <c r="AJ54" s="2" t="s">
        <v>55</v>
      </c>
      <c r="AK54" s="2" t="s">
        <v>450</v>
      </c>
      <c r="AL54" s="2" t="s">
        <v>244</v>
      </c>
      <c r="AM54" s="6">
        <f t="shared" si="0"/>
        <v>12</v>
      </c>
      <c r="AN54" s="2" t="s">
        <v>128</v>
      </c>
      <c r="AO54" s="2" t="s">
        <v>238</v>
      </c>
    </row>
    <row r="55" spans="1:41" x14ac:dyDescent="0.15">
      <c r="A55" s="2" t="s">
        <v>301</v>
      </c>
      <c r="B55" s="2" t="s">
        <v>42</v>
      </c>
      <c r="C55" s="2" t="s">
        <v>96</v>
      </c>
      <c r="D55" s="4">
        <v>37240</v>
      </c>
      <c r="E55" s="2" t="s">
        <v>74</v>
      </c>
      <c r="F55" s="2" t="s">
        <v>103</v>
      </c>
      <c r="G55" s="2" t="s">
        <v>60</v>
      </c>
      <c r="H55" s="2" t="s">
        <v>180</v>
      </c>
      <c r="J55" s="2" t="s">
        <v>91</v>
      </c>
      <c r="L55" s="4">
        <v>45834</v>
      </c>
      <c r="M55" s="4">
        <v>45869</v>
      </c>
      <c r="N55" s="2" t="s">
        <v>252</v>
      </c>
      <c r="O55" s="2">
        <v>8.3333333333333329E-2</v>
      </c>
      <c r="P55" s="2" t="s">
        <v>302</v>
      </c>
      <c r="Q55" s="2" t="s">
        <v>93</v>
      </c>
      <c r="R55" s="2" t="s">
        <v>101</v>
      </c>
      <c r="S55" s="4">
        <v>45834</v>
      </c>
      <c r="T55" s="4">
        <v>45894</v>
      </c>
      <c r="X55" s="4">
        <v>45834</v>
      </c>
      <c r="Y55" s="4">
        <v>45894</v>
      </c>
      <c r="AE55" s="2">
        <v>25</v>
      </c>
      <c r="AF55" s="2" t="s">
        <v>51</v>
      </c>
      <c r="AG55" s="2" t="s">
        <v>52</v>
      </c>
      <c r="AH55" s="2" t="s">
        <v>53</v>
      </c>
      <c r="AI55" s="2" t="s">
        <v>81</v>
      </c>
      <c r="AJ55" s="2" t="s">
        <v>55</v>
      </c>
      <c r="AK55" s="2" t="s">
        <v>146</v>
      </c>
      <c r="AL55" s="2" t="s">
        <v>303</v>
      </c>
      <c r="AM55" s="6">
        <f t="shared" si="0"/>
        <v>12</v>
      </c>
      <c r="AN55" s="2" t="s">
        <v>72</v>
      </c>
      <c r="AO55" s="2" t="s">
        <v>304</v>
      </c>
    </row>
    <row r="56" spans="1:41" x14ac:dyDescent="0.15">
      <c r="A56" s="2" t="s">
        <v>305</v>
      </c>
      <c r="B56" s="2" t="s">
        <v>42</v>
      </c>
      <c r="C56" s="2" t="s">
        <v>96</v>
      </c>
      <c r="D56" s="4">
        <v>38242</v>
      </c>
      <c r="E56" s="2" t="s">
        <v>74</v>
      </c>
      <c r="F56" s="2" t="s">
        <v>103</v>
      </c>
      <c r="G56" s="2" t="s">
        <v>118</v>
      </c>
      <c r="H56" s="2" t="s">
        <v>134</v>
      </c>
      <c r="J56" s="2" t="s">
        <v>91</v>
      </c>
      <c r="L56" s="4">
        <v>45839</v>
      </c>
      <c r="M56" s="4">
        <v>45897</v>
      </c>
      <c r="N56" s="2" t="s">
        <v>306</v>
      </c>
      <c r="O56" s="2">
        <v>8.3333333333333329E-2</v>
      </c>
      <c r="P56" s="2" t="s">
        <v>307</v>
      </c>
      <c r="Q56" s="2" t="s">
        <v>93</v>
      </c>
      <c r="R56" s="2" t="s">
        <v>136</v>
      </c>
      <c r="S56" s="4">
        <v>45839</v>
      </c>
      <c r="T56" s="4">
        <v>45900</v>
      </c>
      <c r="V56" s="4">
        <v>45839</v>
      </c>
      <c r="W56" s="4">
        <v>45900</v>
      </c>
      <c r="AE56" s="2">
        <v>22</v>
      </c>
      <c r="AF56" s="2" t="s">
        <v>51</v>
      </c>
      <c r="AG56" s="2" t="s">
        <v>52</v>
      </c>
      <c r="AH56" s="2" t="s">
        <v>53</v>
      </c>
      <c r="AI56" s="2" t="s">
        <v>81</v>
      </c>
      <c r="AJ56" s="2" t="s">
        <v>55</v>
      </c>
      <c r="AK56" s="2" t="s">
        <v>308</v>
      </c>
      <c r="AL56" s="2" t="s">
        <v>309</v>
      </c>
      <c r="AM56" s="6">
        <f t="shared" si="0"/>
        <v>9</v>
      </c>
      <c r="AN56" s="2" t="s">
        <v>72</v>
      </c>
      <c r="AO56" s="2" t="s">
        <v>376</v>
      </c>
    </row>
    <row r="57" spans="1:41" x14ac:dyDescent="0.15">
      <c r="A57" s="2" t="s">
        <v>310</v>
      </c>
      <c r="B57" s="2" t="s">
        <v>42</v>
      </c>
      <c r="C57" s="2" t="s">
        <v>43</v>
      </c>
      <c r="D57" s="4">
        <v>34767</v>
      </c>
      <c r="E57" s="2" t="s">
        <v>117</v>
      </c>
      <c r="G57" s="2" t="s">
        <v>60</v>
      </c>
      <c r="H57" s="2" t="s">
        <v>180</v>
      </c>
      <c r="I57" s="2" t="s">
        <v>77</v>
      </c>
      <c r="J57" s="2" t="s">
        <v>78</v>
      </c>
      <c r="K57" s="2" t="s">
        <v>79</v>
      </c>
      <c r="L57" s="4">
        <v>45852</v>
      </c>
      <c r="O57" s="2">
        <v>0.91666666666666663</v>
      </c>
      <c r="P57" s="2" t="s">
        <v>311</v>
      </c>
      <c r="Q57" s="2" t="s">
        <v>49</v>
      </c>
      <c r="R57" s="2" t="s">
        <v>98</v>
      </c>
      <c r="S57" s="4">
        <v>45914</v>
      </c>
      <c r="T57" s="4">
        <v>46278</v>
      </c>
      <c r="U57" s="2">
        <v>12</v>
      </c>
      <c r="X57" s="4">
        <v>45852</v>
      </c>
      <c r="Y57" s="4">
        <v>45913</v>
      </c>
      <c r="Z57" s="4">
        <v>45914</v>
      </c>
      <c r="AA57" s="4">
        <v>46278</v>
      </c>
      <c r="AE57" s="2">
        <v>31</v>
      </c>
      <c r="AF57" s="2" t="s">
        <v>64</v>
      </c>
      <c r="AG57" s="2" t="s">
        <v>52</v>
      </c>
      <c r="AH57" s="2" t="s">
        <v>53</v>
      </c>
      <c r="AI57" s="2" t="s">
        <v>54</v>
      </c>
      <c r="AJ57" s="2" t="s">
        <v>55</v>
      </c>
      <c r="AK57" s="2" t="s">
        <v>312</v>
      </c>
      <c r="AL57" s="2" t="s">
        <v>313</v>
      </c>
      <c r="AM57" s="6">
        <f t="shared" si="0"/>
        <v>3</v>
      </c>
      <c r="AN57" s="2" t="s">
        <v>107</v>
      </c>
      <c r="AO57" s="2" t="s">
        <v>116</v>
      </c>
    </row>
    <row r="58" spans="1:41" x14ac:dyDescent="0.15">
      <c r="A58" s="2" t="s">
        <v>314</v>
      </c>
      <c r="B58" s="2" t="s">
        <v>42</v>
      </c>
      <c r="C58" s="2" t="s">
        <v>96</v>
      </c>
      <c r="D58" s="4">
        <v>38187</v>
      </c>
      <c r="E58" s="2" t="s">
        <v>74</v>
      </c>
      <c r="F58" s="2" t="s">
        <v>103</v>
      </c>
      <c r="G58" s="2" t="s">
        <v>118</v>
      </c>
      <c r="H58" s="2" t="s">
        <v>180</v>
      </c>
      <c r="J58" s="2" t="s">
        <v>91</v>
      </c>
      <c r="L58" s="4">
        <v>45859</v>
      </c>
      <c r="M58" s="4">
        <v>45926</v>
      </c>
      <c r="N58" s="2" t="s">
        <v>315</v>
      </c>
      <c r="O58" s="2">
        <v>0.16666666666666671</v>
      </c>
      <c r="P58" s="2" t="s">
        <v>316</v>
      </c>
      <c r="Q58" s="2" t="s">
        <v>93</v>
      </c>
      <c r="R58" s="2" t="s">
        <v>136</v>
      </c>
      <c r="S58" s="4">
        <v>45859</v>
      </c>
      <c r="T58" s="4">
        <v>45920</v>
      </c>
      <c r="V58" s="4">
        <v>45859</v>
      </c>
      <c r="W58" s="4">
        <v>45920</v>
      </c>
      <c r="AE58" s="2">
        <v>22</v>
      </c>
      <c r="AF58" s="2" t="s">
        <v>64</v>
      </c>
      <c r="AG58" s="2" t="s">
        <v>52</v>
      </c>
      <c r="AH58" s="2" t="s">
        <v>53</v>
      </c>
      <c r="AI58" s="2" t="s">
        <v>81</v>
      </c>
      <c r="AJ58" s="2" t="s">
        <v>55</v>
      </c>
      <c r="AK58" s="2" t="s">
        <v>317</v>
      </c>
      <c r="AL58" s="2" t="s">
        <v>318</v>
      </c>
      <c r="AM58" s="6">
        <f t="shared" si="0"/>
        <v>7</v>
      </c>
      <c r="AN58" s="2" t="s">
        <v>189</v>
      </c>
      <c r="AO58" s="2" t="s">
        <v>190</v>
      </c>
    </row>
    <row r="59" spans="1:41" x14ac:dyDescent="0.15">
      <c r="A59" s="2" t="s">
        <v>319</v>
      </c>
      <c r="B59" s="2" t="s">
        <v>42</v>
      </c>
      <c r="C59" s="2" t="s">
        <v>43</v>
      </c>
      <c r="D59" s="4">
        <v>37539</v>
      </c>
      <c r="E59" s="2" t="s">
        <v>74</v>
      </c>
      <c r="F59" s="2" t="s">
        <v>109</v>
      </c>
      <c r="G59" s="2" t="s">
        <v>60</v>
      </c>
      <c r="H59" s="2" t="s">
        <v>180</v>
      </c>
      <c r="I59" s="2" t="s">
        <v>77</v>
      </c>
      <c r="J59" s="2" t="s">
        <v>78</v>
      </c>
      <c r="K59" s="2" t="s">
        <v>79</v>
      </c>
      <c r="L59" s="4">
        <v>45859</v>
      </c>
      <c r="O59" s="2">
        <v>0.91666666666666663</v>
      </c>
      <c r="P59" s="2" t="s">
        <v>316</v>
      </c>
      <c r="Q59" s="2" t="s">
        <v>49</v>
      </c>
      <c r="R59" s="2" t="s">
        <v>98</v>
      </c>
      <c r="S59" s="4">
        <v>45921</v>
      </c>
      <c r="T59" s="4">
        <v>46285</v>
      </c>
      <c r="U59" s="2">
        <v>12</v>
      </c>
      <c r="X59" s="4">
        <v>45859</v>
      </c>
      <c r="Y59" s="4">
        <v>45920</v>
      </c>
      <c r="Z59" s="4">
        <v>45921</v>
      </c>
      <c r="AA59" s="4">
        <v>46285</v>
      </c>
      <c r="AE59" s="2">
        <v>24</v>
      </c>
      <c r="AF59" s="2" t="s">
        <v>51</v>
      </c>
      <c r="AG59" s="2" t="s">
        <v>52</v>
      </c>
      <c r="AH59" s="2" t="s">
        <v>53</v>
      </c>
      <c r="AI59" s="2" t="s">
        <v>81</v>
      </c>
      <c r="AJ59" s="2" t="s">
        <v>55</v>
      </c>
      <c r="AK59" s="2" t="s">
        <v>320</v>
      </c>
      <c r="AL59" s="2" t="s">
        <v>147</v>
      </c>
      <c r="AM59" s="6">
        <f t="shared" si="0"/>
        <v>10</v>
      </c>
      <c r="AN59" s="2" t="s">
        <v>72</v>
      </c>
      <c r="AO59" s="2" t="s">
        <v>280</v>
      </c>
    </row>
    <row r="60" spans="1:41" x14ac:dyDescent="0.15">
      <c r="A60" s="2" t="s">
        <v>321</v>
      </c>
      <c r="B60" s="2" t="s">
        <v>42</v>
      </c>
      <c r="C60" s="2" t="s">
        <v>43</v>
      </c>
      <c r="D60" s="4">
        <v>37645</v>
      </c>
      <c r="E60" s="2" t="s">
        <v>58</v>
      </c>
      <c r="F60" s="2" t="s">
        <v>59</v>
      </c>
      <c r="G60" s="2" t="s">
        <v>60</v>
      </c>
      <c r="H60" s="2" t="s">
        <v>180</v>
      </c>
      <c r="I60" s="2" t="s">
        <v>59</v>
      </c>
      <c r="J60" s="2" t="s">
        <v>62</v>
      </c>
      <c r="K60" s="2" t="s">
        <v>63</v>
      </c>
      <c r="L60" s="4">
        <v>45861</v>
      </c>
      <c r="O60" s="2">
        <v>0.91666666666666663</v>
      </c>
      <c r="P60" s="2" t="s">
        <v>322</v>
      </c>
      <c r="Q60" s="2" t="s">
        <v>49</v>
      </c>
      <c r="R60" s="2" t="s">
        <v>98</v>
      </c>
      <c r="S60" s="4">
        <v>45923</v>
      </c>
      <c r="T60" s="4">
        <v>46287</v>
      </c>
      <c r="U60" s="2">
        <v>12</v>
      </c>
      <c r="X60" s="4">
        <v>45861</v>
      </c>
      <c r="Y60" s="4">
        <v>45922</v>
      </c>
      <c r="Z60" s="4">
        <v>45923</v>
      </c>
      <c r="AA60" s="4">
        <v>46287</v>
      </c>
      <c r="AE60" s="2">
        <v>23</v>
      </c>
      <c r="AF60" s="2" t="s">
        <v>64</v>
      </c>
      <c r="AG60" s="2" t="s">
        <v>52</v>
      </c>
      <c r="AH60" s="2" t="s">
        <v>53</v>
      </c>
      <c r="AI60" s="2" t="s">
        <v>81</v>
      </c>
      <c r="AJ60" s="2" t="s">
        <v>55</v>
      </c>
      <c r="AK60" s="2" t="s">
        <v>153</v>
      </c>
      <c r="AL60" s="2" t="s">
        <v>323</v>
      </c>
      <c r="AM60" s="6">
        <f t="shared" si="0"/>
        <v>1</v>
      </c>
      <c r="AN60" s="2" t="s">
        <v>163</v>
      </c>
      <c r="AO60" s="2" t="s">
        <v>237</v>
      </c>
    </row>
    <row r="61" spans="1:41" x14ac:dyDescent="0.15">
      <c r="A61" s="2" t="s">
        <v>324</v>
      </c>
      <c r="B61" s="2" t="s">
        <v>42</v>
      </c>
      <c r="C61" s="2" t="s">
        <v>43</v>
      </c>
      <c r="D61" s="4">
        <v>32568</v>
      </c>
      <c r="E61" s="2" t="s">
        <v>240</v>
      </c>
      <c r="G61" s="2" t="s">
        <v>60</v>
      </c>
      <c r="H61" s="2" t="s">
        <v>61</v>
      </c>
      <c r="I61" s="2" t="s">
        <v>181</v>
      </c>
      <c r="J61" s="2" t="s">
        <v>175</v>
      </c>
      <c r="K61" s="2" t="s">
        <v>175</v>
      </c>
      <c r="L61" s="4">
        <v>45873</v>
      </c>
      <c r="O61" s="2">
        <v>0.91666666666666663</v>
      </c>
      <c r="P61" s="2" t="s">
        <v>325</v>
      </c>
      <c r="Q61" s="2" t="s">
        <v>49</v>
      </c>
      <c r="R61" s="2" t="s">
        <v>98</v>
      </c>
      <c r="S61" s="4">
        <v>45934</v>
      </c>
      <c r="T61" s="4">
        <v>46298</v>
      </c>
      <c r="U61" s="2">
        <v>12</v>
      </c>
      <c r="X61" s="4">
        <v>45873</v>
      </c>
      <c r="Y61" s="4">
        <v>45933</v>
      </c>
      <c r="Z61" s="4">
        <v>45934</v>
      </c>
      <c r="AA61" s="4">
        <v>46298</v>
      </c>
      <c r="AE61" s="2">
        <v>37</v>
      </c>
      <c r="AF61" s="2" t="s">
        <v>51</v>
      </c>
      <c r="AG61" s="2" t="s">
        <v>52</v>
      </c>
      <c r="AI61" s="2" t="s">
        <v>54</v>
      </c>
      <c r="AJ61" s="2" t="s">
        <v>55</v>
      </c>
      <c r="AK61" s="2" t="s">
        <v>326</v>
      </c>
      <c r="AL61" s="2" t="s">
        <v>327</v>
      </c>
      <c r="AM61" s="6">
        <f t="shared" si="0"/>
        <v>3</v>
      </c>
      <c r="AN61" s="2" t="s">
        <v>328</v>
      </c>
      <c r="AO61" s="2" t="s">
        <v>116</v>
      </c>
    </row>
    <row r="62" spans="1:41" x14ac:dyDescent="0.15">
      <c r="A62" s="2" t="s">
        <v>329</v>
      </c>
      <c r="B62" s="2" t="s">
        <v>42</v>
      </c>
      <c r="C62" s="2" t="s">
        <v>43</v>
      </c>
      <c r="D62" s="4">
        <v>35087</v>
      </c>
      <c r="E62" s="2" t="s">
        <v>86</v>
      </c>
      <c r="F62" s="2" t="s">
        <v>86</v>
      </c>
      <c r="G62" s="2" t="s">
        <v>295</v>
      </c>
      <c r="H62" s="2" t="s">
        <v>61</v>
      </c>
      <c r="I62" s="2" t="s">
        <v>110</v>
      </c>
      <c r="J62" s="2" t="s">
        <v>78</v>
      </c>
      <c r="K62" s="2" t="s">
        <v>79</v>
      </c>
      <c r="L62" s="4">
        <v>45873</v>
      </c>
      <c r="O62" s="2">
        <v>0.91666666666666663</v>
      </c>
      <c r="P62" s="2" t="s">
        <v>325</v>
      </c>
      <c r="Q62" s="2" t="s">
        <v>49</v>
      </c>
      <c r="R62" s="2" t="s">
        <v>98</v>
      </c>
      <c r="S62" s="4">
        <v>45934</v>
      </c>
      <c r="T62" s="4">
        <v>46298</v>
      </c>
      <c r="U62" s="2">
        <v>12</v>
      </c>
      <c r="X62" s="4">
        <v>45873</v>
      </c>
      <c r="Y62" s="4">
        <v>45933</v>
      </c>
      <c r="Z62" s="4">
        <v>45934</v>
      </c>
      <c r="AA62" s="4">
        <v>46298</v>
      </c>
      <c r="AE62" s="2">
        <v>30</v>
      </c>
      <c r="AF62" s="2" t="s">
        <v>64</v>
      </c>
      <c r="AG62" s="2" t="s">
        <v>52</v>
      </c>
      <c r="AH62" s="2" t="s">
        <v>53</v>
      </c>
      <c r="AI62" s="2" t="s">
        <v>54</v>
      </c>
      <c r="AJ62" s="2" t="s">
        <v>55</v>
      </c>
      <c r="AK62" s="2" t="s">
        <v>330</v>
      </c>
      <c r="AL62" s="2" t="s">
        <v>331</v>
      </c>
      <c r="AM62" s="6">
        <f t="shared" si="0"/>
        <v>1</v>
      </c>
      <c r="AN62" s="2" t="s">
        <v>72</v>
      </c>
      <c r="AO62" s="2" t="s">
        <v>304</v>
      </c>
    </row>
    <row r="63" spans="1:41" x14ac:dyDescent="0.15">
      <c r="A63" s="2" t="s">
        <v>332</v>
      </c>
      <c r="B63" s="2" t="s">
        <v>42</v>
      </c>
      <c r="C63" s="2" t="s">
        <v>96</v>
      </c>
      <c r="D63" s="4">
        <v>38197</v>
      </c>
      <c r="E63" s="2" t="s">
        <v>74</v>
      </c>
      <c r="F63" s="2" t="s">
        <v>90</v>
      </c>
      <c r="G63" s="2" t="s">
        <v>118</v>
      </c>
      <c r="H63" s="2" t="s">
        <v>134</v>
      </c>
      <c r="J63" s="2" t="s">
        <v>78</v>
      </c>
      <c r="L63" s="4">
        <v>45894</v>
      </c>
      <c r="M63" s="4">
        <v>45677</v>
      </c>
      <c r="N63" s="2" t="s">
        <v>333</v>
      </c>
      <c r="P63" s="2" t="s">
        <v>334</v>
      </c>
      <c r="Q63" s="2" t="s">
        <v>93</v>
      </c>
      <c r="R63" s="2" t="s">
        <v>136</v>
      </c>
      <c r="S63" s="4">
        <v>45894</v>
      </c>
      <c r="T63" s="4">
        <v>45954</v>
      </c>
      <c r="U63" s="2">
        <v>2</v>
      </c>
      <c r="V63" s="4">
        <v>45894</v>
      </c>
      <c r="W63" s="4">
        <v>45954</v>
      </c>
      <c r="AE63" s="2">
        <v>22</v>
      </c>
      <c r="AF63" s="2" t="s">
        <v>51</v>
      </c>
      <c r="AG63" s="2" t="s">
        <v>52</v>
      </c>
      <c r="AH63" s="2" t="s">
        <v>53</v>
      </c>
      <c r="AI63" s="2" t="s">
        <v>81</v>
      </c>
      <c r="AJ63" s="2" t="s">
        <v>55</v>
      </c>
      <c r="AK63" s="2" t="s">
        <v>468</v>
      </c>
      <c r="AL63" s="2" t="s">
        <v>232</v>
      </c>
      <c r="AM63" s="6">
        <f t="shared" si="0"/>
        <v>7</v>
      </c>
      <c r="AN63" s="2" t="s">
        <v>189</v>
      </c>
      <c r="AO63" s="2" t="s">
        <v>155</v>
      </c>
    </row>
    <row r="64" spans="1:41" x14ac:dyDescent="0.15">
      <c r="A64" s="2" t="s">
        <v>335</v>
      </c>
      <c r="B64" s="2" t="s">
        <v>42</v>
      </c>
      <c r="C64" s="2" t="s">
        <v>43</v>
      </c>
      <c r="D64" s="4">
        <v>35732</v>
      </c>
      <c r="E64" s="2" t="s">
        <v>74</v>
      </c>
      <c r="F64" s="2" t="s">
        <v>109</v>
      </c>
      <c r="G64" s="2" t="s">
        <v>60</v>
      </c>
      <c r="H64" s="2" t="s">
        <v>61</v>
      </c>
      <c r="I64" s="2" t="s">
        <v>110</v>
      </c>
      <c r="J64" s="2" t="s">
        <v>78</v>
      </c>
      <c r="K64" s="2" t="s">
        <v>79</v>
      </c>
      <c r="L64" s="4">
        <v>45894</v>
      </c>
      <c r="O64" s="2">
        <v>0.83333333333333337</v>
      </c>
      <c r="P64" s="2" t="s">
        <v>334</v>
      </c>
      <c r="Q64" s="2" t="s">
        <v>49</v>
      </c>
      <c r="R64" s="2" t="s">
        <v>98</v>
      </c>
      <c r="S64" s="4">
        <v>45955</v>
      </c>
      <c r="T64" s="4">
        <v>46319</v>
      </c>
      <c r="U64" s="2">
        <v>12</v>
      </c>
      <c r="X64" s="4">
        <v>45894</v>
      </c>
      <c r="Y64" s="4">
        <v>45954</v>
      </c>
      <c r="Z64" s="4">
        <v>45955</v>
      </c>
      <c r="AA64" s="4">
        <v>46319</v>
      </c>
      <c r="AE64" s="2">
        <v>29</v>
      </c>
      <c r="AF64" s="2" t="s">
        <v>51</v>
      </c>
      <c r="AG64" s="2" t="s">
        <v>52</v>
      </c>
      <c r="AH64" s="2" t="s">
        <v>53</v>
      </c>
      <c r="AI64" s="2" t="s">
        <v>81</v>
      </c>
      <c r="AJ64" s="2" t="s">
        <v>55</v>
      </c>
      <c r="AK64" s="2" t="s">
        <v>336</v>
      </c>
      <c r="AL64" s="2" t="s">
        <v>337</v>
      </c>
      <c r="AM64" s="6">
        <f t="shared" si="0"/>
        <v>10</v>
      </c>
      <c r="AN64" s="2" t="s">
        <v>72</v>
      </c>
      <c r="AO64" s="2" t="s">
        <v>458</v>
      </c>
    </row>
    <row r="65" spans="1:41" x14ac:dyDescent="0.15">
      <c r="A65" s="2" t="s">
        <v>338</v>
      </c>
      <c r="B65" s="2" t="s">
        <v>42</v>
      </c>
      <c r="C65" s="2" t="s">
        <v>43</v>
      </c>
      <c r="D65" s="4">
        <v>37157</v>
      </c>
      <c r="E65" s="2" t="s">
        <v>121</v>
      </c>
      <c r="F65" s="2" t="s">
        <v>86</v>
      </c>
      <c r="G65" s="2" t="s">
        <v>60</v>
      </c>
      <c r="H65" s="2" t="s">
        <v>180</v>
      </c>
      <c r="J65" s="2" t="s">
        <v>467</v>
      </c>
      <c r="K65" s="2" t="s">
        <v>79</v>
      </c>
      <c r="L65" s="4">
        <v>45894</v>
      </c>
      <c r="O65" s="2">
        <v>0.83333333333333337</v>
      </c>
      <c r="P65" s="2" t="s">
        <v>334</v>
      </c>
      <c r="Q65" s="2" t="s">
        <v>49</v>
      </c>
      <c r="R65" s="2" t="s">
        <v>98</v>
      </c>
      <c r="S65" s="4">
        <v>45955</v>
      </c>
      <c r="T65" s="4">
        <v>46319</v>
      </c>
      <c r="U65" s="2">
        <v>12</v>
      </c>
      <c r="X65" s="4">
        <v>45894</v>
      </c>
      <c r="Y65" s="4">
        <v>45954</v>
      </c>
      <c r="Z65" s="4">
        <v>45955</v>
      </c>
      <c r="AA65" s="4">
        <v>46319</v>
      </c>
      <c r="AE65" s="2">
        <v>25</v>
      </c>
      <c r="AF65" s="2" t="s">
        <v>64</v>
      </c>
      <c r="AG65" s="2" t="s">
        <v>52</v>
      </c>
      <c r="AH65" s="2" t="s">
        <v>53</v>
      </c>
      <c r="AI65" s="2" t="s">
        <v>81</v>
      </c>
      <c r="AJ65" s="2" t="s">
        <v>55</v>
      </c>
      <c r="AK65" s="2" t="s">
        <v>451</v>
      </c>
      <c r="AL65" s="2" t="s">
        <v>339</v>
      </c>
      <c r="AM65" s="6">
        <f t="shared" ref="AM65:AM101" si="1">MONTH(D65)</f>
        <v>9</v>
      </c>
      <c r="AN65" s="2" t="s">
        <v>72</v>
      </c>
      <c r="AO65" s="2" t="s">
        <v>459</v>
      </c>
    </row>
    <row r="66" spans="1:41" x14ac:dyDescent="0.15">
      <c r="A66" s="2" t="s">
        <v>340</v>
      </c>
      <c r="B66" s="2" t="s">
        <v>42</v>
      </c>
      <c r="C66" s="2" t="s">
        <v>96</v>
      </c>
      <c r="D66" s="4">
        <v>38344</v>
      </c>
      <c r="E66" s="2" t="s">
        <v>74</v>
      </c>
      <c r="F66" s="2" t="s">
        <v>90</v>
      </c>
      <c r="G66" s="2" t="s">
        <v>118</v>
      </c>
      <c r="J66" s="2" t="s">
        <v>91</v>
      </c>
      <c r="L66" s="4">
        <v>45894</v>
      </c>
      <c r="M66" s="4">
        <v>45896</v>
      </c>
      <c r="N66" s="2" t="s">
        <v>341</v>
      </c>
      <c r="O66" s="2">
        <v>0</v>
      </c>
      <c r="P66" s="2" t="s">
        <v>334</v>
      </c>
      <c r="Q66" s="2" t="s">
        <v>93</v>
      </c>
      <c r="R66" s="2" t="s">
        <v>136</v>
      </c>
      <c r="S66" s="4">
        <v>45894</v>
      </c>
      <c r="T66" s="4">
        <v>45954</v>
      </c>
      <c r="V66" s="4">
        <v>45894</v>
      </c>
      <c r="W66" s="4">
        <v>45954</v>
      </c>
      <c r="AE66" s="2">
        <v>22</v>
      </c>
      <c r="AF66" s="2" t="s">
        <v>64</v>
      </c>
      <c r="AG66" s="2" t="s">
        <v>52</v>
      </c>
      <c r="AH66" s="2" t="s">
        <v>53</v>
      </c>
      <c r="AI66" s="2" t="s">
        <v>81</v>
      </c>
      <c r="AJ66" s="2" t="s">
        <v>55</v>
      </c>
      <c r="AK66" s="2" t="s">
        <v>468</v>
      </c>
      <c r="AL66" s="2" t="s">
        <v>232</v>
      </c>
      <c r="AM66" s="6">
        <f t="shared" si="1"/>
        <v>12</v>
      </c>
      <c r="AN66" s="2" t="s">
        <v>99</v>
      </c>
      <c r="AO66" s="2" t="s">
        <v>460</v>
      </c>
    </row>
    <row r="67" spans="1:41" x14ac:dyDescent="0.15">
      <c r="A67" s="2" t="s">
        <v>342</v>
      </c>
      <c r="B67" s="2" t="s">
        <v>42</v>
      </c>
      <c r="C67" s="2" t="s">
        <v>43</v>
      </c>
      <c r="D67" s="4">
        <v>36754</v>
      </c>
      <c r="E67" s="2" t="s">
        <v>66</v>
      </c>
      <c r="G67" s="2" t="s">
        <v>60</v>
      </c>
      <c r="H67" s="2" t="s">
        <v>180</v>
      </c>
      <c r="J67" s="2" t="s">
        <v>68</v>
      </c>
      <c r="K67" s="2" t="s">
        <v>63</v>
      </c>
      <c r="L67" s="4">
        <v>45903</v>
      </c>
      <c r="O67" s="2">
        <v>0.83333333333333337</v>
      </c>
      <c r="P67" s="2" t="s">
        <v>343</v>
      </c>
      <c r="Q67" s="2" t="s">
        <v>49</v>
      </c>
      <c r="R67" s="2" t="s">
        <v>98</v>
      </c>
      <c r="S67" s="4">
        <v>45964</v>
      </c>
      <c r="T67" s="4">
        <v>46328</v>
      </c>
      <c r="U67" s="2">
        <v>12</v>
      </c>
      <c r="X67" s="4">
        <v>45903</v>
      </c>
      <c r="Y67" s="4">
        <v>45963</v>
      </c>
      <c r="Z67" s="4">
        <v>45964</v>
      </c>
      <c r="AA67" s="4">
        <v>46328</v>
      </c>
      <c r="AE67" s="2">
        <v>26</v>
      </c>
      <c r="AF67" s="2" t="s">
        <v>64</v>
      </c>
      <c r="AG67" s="2" t="s">
        <v>52</v>
      </c>
      <c r="AH67" s="2" t="s">
        <v>53</v>
      </c>
      <c r="AI67" s="2" t="s">
        <v>81</v>
      </c>
      <c r="AJ67" s="2" t="s">
        <v>55</v>
      </c>
      <c r="AK67" s="2" t="s">
        <v>344</v>
      </c>
      <c r="AL67" s="2" t="s">
        <v>200</v>
      </c>
      <c r="AM67" s="6">
        <f t="shared" si="1"/>
        <v>8</v>
      </c>
      <c r="AN67" s="2" t="s">
        <v>285</v>
      </c>
      <c r="AO67" s="2" t="s">
        <v>116</v>
      </c>
    </row>
    <row r="68" spans="1:41" x14ac:dyDescent="0.15">
      <c r="A68" s="2" t="s">
        <v>345</v>
      </c>
      <c r="B68" s="2" t="s">
        <v>42</v>
      </c>
      <c r="C68" s="2" t="s">
        <v>96</v>
      </c>
      <c r="D68" s="4">
        <v>36490</v>
      </c>
      <c r="E68" s="2" t="s">
        <v>74</v>
      </c>
      <c r="F68" s="2" t="s">
        <v>103</v>
      </c>
      <c r="G68" s="2" t="s">
        <v>60</v>
      </c>
      <c r="H68" s="2" t="s">
        <v>104</v>
      </c>
      <c r="J68" s="2" t="s">
        <v>91</v>
      </c>
      <c r="L68" s="4">
        <v>45903</v>
      </c>
      <c r="M68" s="4">
        <v>45919</v>
      </c>
      <c r="N68" s="2" t="s">
        <v>346</v>
      </c>
      <c r="O68" s="2">
        <v>0</v>
      </c>
      <c r="P68" s="2" t="s">
        <v>343</v>
      </c>
      <c r="Q68" s="2" t="s">
        <v>93</v>
      </c>
      <c r="R68" s="2" t="s">
        <v>101</v>
      </c>
      <c r="S68" s="4">
        <v>45903</v>
      </c>
      <c r="T68" s="4">
        <v>45963</v>
      </c>
      <c r="X68" s="4">
        <v>45903</v>
      </c>
      <c r="Y68" s="4">
        <v>45963</v>
      </c>
      <c r="AE68" s="2">
        <v>27</v>
      </c>
      <c r="AF68" s="2" t="s">
        <v>51</v>
      </c>
      <c r="AG68" s="2" t="s">
        <v>52</v>
      </c>
      <c r="AH68" s="2" t="s">
        <v>53</v>
      </c>
      <c r="AI68" s="2" t="s">
        <v>81</v>
      </c>
      <c r="AJ68" s="2" t="s">
        <v>55</v>
      </c>
      <c r="AK68" s="2" t="s">
        <v>468</v>
      </c>
      <c r="AL68" s="2" t="s">
        <v>347</v>
      </c>
      <c r="AM68" s="6">
        <f t="shared" si="1"/>
        <v>11</v>
      </c>
      <c r="AN68" s="2" t="s">
        <v>128</v>
      </c>
      <c r="AO68" s="2" t="s">
        <v>164</v>
      </c>
    </row>
    <row r="69" spans="1:41" x14ac:dyDescent="0.15">
      <c r="A69" s="2" t="s">
        <v>348</v>
      </c>
      <c r="B69" s="2" t="s">
        <v>42</v>
      </c>
      <c r="C69" s="2" t="s">
        <v>43</v>
      </c>
      <c r="D69" s="4">
        <v>38141</v>
      </c>
      <c r="E69" s="2" t="s">
        <v>74</v>
      </c>
      <c r="F69" s="2" t="s">
        <v>90</v>
      </c>
      <c r="G69" s="2" t="s">
        <v>60</v>
      </c>
      <c r="H69" s="2" t="s">
        <v>180</v>
      </c>
      <c r="J69" s="2" t="s">
        <v>467</v>
      </c>
      <c r="K69" s="2" t="s">
        <v>79</v>
      </c>
      <c r="L69" s="4">
        <v>45908</v>
      </c>
      <c r="O69" s="2">
        <v>0.83333333333333337</v>
      </c>
      <c r="P69" s="2" t="s">
        <v>349</v>
      </c>
      <c r="Q69" s="2" t="s">
        <v>49</v>
      </c>
      <c r="R69" s="2" t="s">
        <v>98</v>
      </c>
      <c r="S69" s="4">
        <v>46082</v>
      </c>
      <c r="T69" s="4">
        <v>46446</v>
      </c>
      <c r="U69" s="2">
        <v>12</v>
      </c>
      <c r="V69" s="4">
        <v>45908</v>
      </c>
      <c r="W69" s="4">
        <v>45969</v>
      </c>
      <c r="Z69" s="4">
        <v>46082</v>
      </c>
      <c r="AA69" s="4">
        <v>46446</v>
      </c>
      <c r="AE69" s="2">
        <v>22</v>
      </c>
      <c r="AF69" s="2" t="s">
        <v>51</v>
      </c>
      <c r="AG69" s="2" t="s">
        <v>52</v>
      </c>
      <c r="AH69" s="2" t="s">
        <v>53</v>
      </c>
      <c r="AI69" s="2" t="s">
        <v>81</v>
      </c>
      <c r="AJ69" s="2" t="s">
        <v>55</v>
      </c>
      <c r="AK69" s="2" t="s">
        <v>468</v>
      </c>
      <c r="AL69" s="2" t="s">
        <v>232</v>
      </c>
      <c r="AM69" s="6">
        <f t="shared" si="1"/>
        <v>6</v>
      </c>
      <c r="AN69" s="2" t="s">
        <v>350</v>
      </c>
      <c r="AO69" s="2" t="s">
        <v>155</v>
      </c>
    </row>
    <row r="70" spans="1:41" x14ac:dyDescent="0.15">
      <c r="A70" s="2" t="s">
        <v>351</v>
      </c>
      <c r="B70" s="2" t="s">
        <v>42</v>
      </c>
      <c r="C70" s="2" t="s">
        <v>96</v>
      </c>
      <c r="D70" s="4">
        <v>36324</v>
      </c>
      <c r="E70" s="2" t="s">
        <v>74</v>
      </c>
      <c r="F70" s="2" t="s">
        <v>109</v>
      </c>
      <c r="G70" s="2" t="s">
        <v>60</v>
      </c>
      <c r="H70" s="2" t="s">
        <v>76</v>
      </c>
      <c r="J70" s="2" t="s">
        <v>91</v>
      </c>
      <c r="L70" s="4">
        <v>45908</v>
      </c>
      <c r="M70" s="4">
        <v>45991</v>
      </c>
      <c r="N70" s="2" t="s">
        <v>352</v>
      </c>
      <c r="O70" s="2">
        <v>0.16666666666666671</v>
      </c>
      <c r="P70" s="2" t="s">
        <v>349</v>
      </c>
      <c r="Q70" s="2" t="s">
        <v>93</v>
      </c>
      <c r="R70" s="2" t="s">
        <v>98</v>
      </c>
      <c r="S70" s="4">
        <v>45969</v>
      </c>
      <c r="T70" s="4">
        <v>46333</v>
      </c>
      <c r="U70" s="2">
        <v>12</v>
      </c>
      <c r="X70" s="4">
        <v>45908</v>
      </c>
      <c r="Y70" s="4">
        <v>45968</v>
      </c>
      <c r="Z70" s="4">
        <v>45969</v>
      </c>
      <c r="AA70" s="4">
        <v>46333</v>
      </c>
      <c r="AE70" s="2">
        <v>27</v>
      </c>
      <c r="AF70" s="2" t="s">
        <v>51</v>
      </c>
      <c r="AG70" s="2" t="s">
        <v>52</v>
      </c>
      <c r="AH70" s="2" t="s">
        <v>53</v>
      </c>
      <c r="AI70" s="2" t="s">
        <v>81</v>
      </c>
      <c r="AJ70" s="2" t="s">
        <v>55</v>
      </c>
      <c r="AK70" s="2" t="s">
        <v>146</v>
      </c>
      <c r="AL70" s="2" t="s">
        <v>452</v>
      </c>
      <c r="AM70" s="6">
        <f t="shared" si="1"/>
        <v>6</v>
      </c>
      <c r="AN70" s="2" t="s">
        <v>99</v>
      </c>
      <c r="AO70" s="2" t="s">
        <v>116</v>
      </c>
    </row>
    <row r="71" spans="1:41" x14ac:dyDescent="0.15">
      <c r="A71" s="2" t="s">
        <v>353</v>
      </c>
      <c r="B71" s="2" t="s">
        <v>42</v>
      </c>
      <c r="C71" s="2" t="s">
        <v>43</v>
      </c>
      <c r="D71" s="4">
        <v>32658</v>
      </c>
      <c r="E71" s="2" t="s">
        <v>74</v>
      </c>
      <c r="F71" s="2" t="s">
        <v>75</v>
      </c>
      <c r="G71" s="2" t="s">
        <v>295</v>
      </c>
      <c r="H71" s="2" t="s">
        <v>76</v>
      </c>
      <c r="I71" s="2" t="s">
        <v>114</v>
      </c>
      <c r="J71" s="2" t="s">
        <v>78</v>
      </c>
      <c r="K71" s="2" t="s">
        <v>79</v>
      </c>
      <c r="L71" s="4">
        <v>45910</v>
      </c>
      <c r="O71" s="2">
        <v>0.75</v>
      </c>
      <c r="P71" s="2" t="s">
        <v>354</v>
      </c>
      <c r="Q71" s="2" t="s">
        <v>49</v>
      </c>
      <c r="R71" s="2" t="s">
        <v>98</v>
      </c>
      <c r="S71" s="4">
        <v>45971</v>
      </c>
      <c r="T71" s="4">
        <v>46335</v>
      </c>
      <c r="U71" s="2">
        <v>12</v>
      </c>
      <c r="X71" s="4">
        <v>45910</v>
      </c>
      <c r="Y71" s="4">
        <v>45970</v>
      </c>
      <c r="Z71" s="4">
        <v>45971</v>
      </c>
      <c r="AA71" s="4">
        <v>46335</v>
      </c>
      <c r="AE71" s="2">
        <v>37</v>
      </c>
      <c r="AF71" s="2" t="s">
        <v>51</v>
      </c>
      <c r="AG71" s="2" t="s">
        <v>52</v>
      </c>
      <c r="AH71" s="2" t="s">
        <v>53</v>
      </c>
      <c r="AI71" s="2" t="s">
        <v>54</v>
      </c>
      <c r="AJ71" s="2" t="s">
        <v>55</v>
      </c>
      <c r="AK71" s="2" t="s">
        <v>355</v>
      </c>
      <c r="AL71" s="2" t="s">
        <v>356</v>
      </c>
      <c r="AM71" s="6">
        <f t="shared" si="1"/>
        <v>5</v>
      </c>
      <c r="AN71" s="2" t="s">
        <v>72</v>
      </c>
      <c r="AO71" s="2" t="s">
        <v>461</v>
      </c>
    </row>
    <row r="72" spans="1:41" x14ac:dyDescent="0.15">
      <c r="A72" s="2" t="s">
        <v>357</v>
      </c>
      <c r="B72" s="2" t="s">
        <v>42</v>
      </c>
      <c r="C72" s="2" t="s">
        <v>43</v>
      </c>
      <c r="D72" s="4">
        <v>37531</v>
      </c>
      <c r="E72" s="2" t="s">
        <v>74</v>
      </c>
      <c r="F72" s="2" t="s">
        <v>103</v>
      </c>
      <c r="G72" s="2" t="s">
        <v>60</v>
      </c>
      <c r="H72" s="2" t="s">
        <v>180</v>
      </c>
      <c r="I72" s="2" t="s">
        <v>114</v>
      </c>
      <c r="J72" s="2" t="s">
        <v>78</v>
      </c>
      <c r="K72" s="2" t="s">
        <v>79</v>
      </c>
      <c r="L72" s="4">
        <v>45910</v>
      </c>
      <c r="M72" s="4">
        <v>46192</v>
      </c>
      <c r="O72" s="2">
        <v>0.75</v>
      </c>
      <c r="P72" s="2" t="s">
        <v>354</v>
      </c>
      <c r="Q72" s="2" t="s">
        <v>93</v>
      </c>
      <c r="R72" s="2" t="s">
        <v>98</v>
      </c>
      <c r="S72" s="4">
        <v>45971</v>
      </c>
      <c r="T72" s="4">
        <v>46335</v>
      </c>
      <c r="U72" s="2">
        <v>12</v>
      </c>
      <c r="X72" s="4">
        <v>45910</v>
      </c>
      <c r="Y72" s="4">
        <v>45970</v>
      </c>
      <c r="Z72" s="4">
        <v>45971</v>
      </c>
      <c r="AA72" s="4">
        <v>46335</v>
      </c>
      <c r="AE72" s="2">
        <v>24</v>
      </c>
      <c r="AF72" s="2" t="s">
        <v>51</v>
      </c>
      <c r="AG72" s="2" t="s">
        <v>52</v>
      </c>
      <c r="AH72" s="2" t="s">
        <v>53</v>
      </c>
      <c r="AI72" s="2" t="s">
        <v>81</v>
      </c>
      <c r="AJ72" s="2" t="s">
        <v>55</v>
      </c>
      <c r="AK72" s="2" t="s">
        <v>355</v>
      </c>
      <c r="AL72" s="2" t="s">
        <v>232</v>
      </c>
      <c r="AM72" s="6">
        <f t="shared" si="1"/>
        <v>10</v>
      </c>
      <c r="AN72" s="2" t="s">
        <v>189</v>
      </c>
    </row>
    <row r="73" spans="1:41" x14ac:dyDescent="0.15">
      <c r="A73" s="2" t="s">
        <v>358</v>
      </c>
      <c r="B73" s="2" t="s">
        <v>42</v>
      </c>
      <c r="C73" s="2" t="s">
        <v>43</v>
      </c>
      <c r="D73" s="4">
        <v>37596</v>
      </c>
      <c r="E73" s="2" t="s">
        <v>74</v>
      </c>
      <c r="F73" s="2" t="s">
        <v>109</v>
      </c>
      <c r="G73" s="2" t="s">
        <v>60</v>
      </c>
      <c r="H73" s="2" t="s">
        <v>180</v>
      </c>
      <c r="I73" s="2" t="s">
        <v>114</v>
      </c>
      <c r="J73" s="2" t="s">
        <v>78</v>
      </c>
      <c r="K73" s="2" t="s">
        <v>79</v>
      </c>
      <c r="L73" s="4">
        <v>45910</v>
      </c>
      <c r="O73" s="2">
        <v>0.75</v>
      </c>
      <c r="P73" s="2" t="s">
        <v>354</v>
      </c>
      <c r="Q73" s="2" t="s">
        <v>49</v>
      </c>
      <c r="R73" s="2" t="s">
        <v>98</v>
      </c>
      <c r="S73" s="4">
        <v>46113</v>
      </c>
      <c r="T73" s="4">
        <v>46477</v>
      </c>
      <c r="U73" s="2">
        <v>12</v>
      </c>
      <c r="V73" s="4">
        <v>45910</v>
      </c>
      <c r="W73" s="4">
        <v>45970</v>
      </c>
      <c r="Z73" s="4">
        <v>46113</v>
      </c>
      <c r="AA73" s="4">
        <v>46477</v>
      </c>
      <c r="AE73" s="2">
        <v>24</v>
      </c>
      <c r="AF73" s="2" t="s">
        <v>51</v>
      </c>
      <c r="AG73" s="2" t="s">
        <v>52</v>
      </c>
      <c r="AH73" s="2" t="s">
        <v>53</v>
      </c>
      <c r="AI73" s="2" t="s">
        <v>81</v>
      </c>
      <c r="AJ73" s="2" t="s">
        <v>55</v>
      </c>
      <c r="AK73" s="2" t="s">
        <v>359</v>
      </c>
      <c r="AL73" s="2" t="s">
        <v>204</v>
      </c>
      <c r="AM73" s="6">
        <f t="shared" si="1"/>
        <v>12</v>
      </c>
      <c r="AN73" s="2" t="s">
        <v>99</v>
      </c>
      <c r="AO73" s="2" t="s">
        <v>462</v>
      </c>
    </row>
    <row r="74" spans="1:41" x14ac:dyDescent="0.15">
      <c r="A74" s="2" t="s">
        <v>360</v>
      </c>
      <c r="B74" s="2" t="s">
        <v>42</v>
      </c>
      <c r="C74" s="2" t="s">
        <v>43</v>
      </c>
      <c r="D74" s="4">
        <v>37747</v>
      </c>
      <c r="E74" s="2" t="s">
        <v>74</v>
      </c>
      <c r="F74" s="2" t="s">
        <v>103</v>
      </c>
      <c r="G74" s="2" t="s">
        <v>60</v>
      </c>
      <c r="H74" s="2" t="s">
        <v>180</v>
      </c>
      <c r="I74" s="2" t="s">
        <v>114</v>
      </c>
      <c r="J74" s="2" t="s">
        <v>78</v>
      </c>
      <c r="K74" s="2" t="s">
        <v>79</v>
      </c>
      <c r="L74" s="4">
        <v>45922</v>
      </c>
      <c r="O74" s="2">
        <v>0.75</v>
      </c>
      <c r="P74" s="2" t="s">
        <v>361</v>
      </c>
      <c r="Q74" s="2" t="s">
        <v>49</v>
      </c>
      <c r="R74" s="2" t="s">
        <v>98</v>
      </c>
      <c r="S74" s="4">
        <v>45983</v>
      </c>
      <c r="T74" s="4">
        <v>46347</v>
      </c>
      <c r="U74" s="2">
        <v>12</v>
      </c>
      <c r="X74" s="4">
        <v>45922</v>
      </c>
      <c r="Y74" s="4">
        <v>45982</v>
      </c>
      <c r="Z74" s="4">
        <v>45983</v>
      </c>
      <c r="AA74" s="4">
        <v>46347</v>
      </c>
      <c r="AE74" s="2">
        <v>23</v>
      </c>
      <c r="AF74" s="2" t="s">
        <v>51</v>
      </c>
      <c r="AG74" s="2" t="s">
        <v>52</v>
      </c>
      <c r="AH74" s="2" t="s">
        <v>53</v>
      </c>
      <c r="AI74" s="2" t="s">
        <v>81</v>
      </c>
      <c r="AJ74" s="2" t="s">
        <v>55</v>
      </c>
      <c r="AK74" s="2" t="s">
        <v>362</v>
      </c>
      <c r="AL74" s="2" t="s">
        <v>363</v>
      </c>
      <c r="AM74" s="6">
        <f t="shared" si="1"/>
        <v>5</v>
      </c>
      <c r="AN74" s="2" t="s">
        <v>72</v>
      </c>
      <c r="AO74" s="2" t="s">
        <v>364</v>
      </c>
    </row>
    <row r="75" spans="1:41" x14ac:dyDescent="0.15">
      <c r="A75" s="2" t="s">
        <v>365</v>
      </c>
      <c r="B75" s="2" t="s">
        <v>42</v>
      </c>
      <c r="C75" s="2" t="s">
        <v>43</v>
      </c>
      <c r="D75" s="4">
        <v>37350</v>
      </c>
      <c r="E75" s="2" t="s">
        <v>74</v>
      </c>
      <c r="F75" s="2" t="s">
        <v>103</v>
      </c>
      <c r="G75" s="2" t="s">
        <v>60</v>
      </c>
      <c r="H75" s="2" t="s">
        <v>180</v>
      </c>
      <c r="J75" s="2" t="s">
        <v>467</v>
      </c>
      <c r="K75" s="2" t="s">
        <v>79</v>
      </c>
      <c r="L75" s="4">
        <v>45932</v>
      </c>
      <c r="O75" s="2">
        <v>0.75</v>
      </c>
      <c r="P75" s="2" t="s">
        <v>366</v>
      </c>
      <c r="Q75" s="2" t="s">
        <v>49</v>
      </c>
      <c r="R75" s="2" t="s">
        <v>98</v>
      </c>
      <c r="S75" s="4">
        <v>45993</v>
      </c>
      <c r="T75" s="4">
        <v>46357</v>
      </c>
      <c r="U75" s="2">
        <v>12</v>
      </c>
      <c r="X75" s="4">
        <v>45932</v>
      </c>
      <c r="Y75" s="4">
        <v>45992</v>
      </c>
      <c r="Z75" s="4">
        <v>45993</v>
      </c>
      <c r="AA75" s="4">
        <v>46357</v>
      </c>
      <c r="AE75" s="2">
        <v>24</v>
      </c>
      <c r="AF75" s="2" t="s">
        <v>51</v>
      </c>
      <c r="AG75" s="2" t="s">
        <v>52</v>
      </c>
      <c r="AH75" s="2" t="s">
        <v>53</v>
      </c>
      <c r="AI75" s="2" t="s">
        <v>81</v>
      </c>
      <c r="AJ75" s="2" t="s">
        <v>55</v>
      </c>
      <c r="AK75" s="2" t="s">
        <v>146</v>
      </c>
      <c r="AL75" s="2" t="s">
        <v>367</v>
      </c>
      <c r="AM75" s="6">
        <f t="shared" si="1"/>
        <v>4</v>
      </c>
      <c r="AN75" s="2" t="s">
        <v>72</v>
      </c>
      <c r="AO75" s="2" t="s">
        <v>449</v>
      </c>
    </row>
    <row r="76" spans="1:41" x14ac:dyDescent="0.15">
      <c r="A76" s="2" t="s">
        <v>368</v>
      </c>
      <c r="B76" s="2" t="s">
        <v>42</v>
      </c>
      <c r="C76" s="2" t="s">
        <v>43</v>
      </c>
      <c r="D76" s="4">
        <v>37709</v>
      </c>
      <c r="E76" s="2" t="s">
        <v>74</v>
      </c>
      <c r="F76" s="2" t="s">
        <v>103</v>
      </c>
      <c r="G76" s="2" t="s">
        <v>60</v>
      </c>
      <c r="H76" s="2" t="s">
        <v>180</v>
      </c>
      <c r="I76" s="2" t="s">
        <v>114</v>
      </c>
      <c r="J76" s="2" t="s">
        <v>78</v>
      </c>
      <c r="K76" s="2" t="s">
        <v>79</v>
      </c>
      <c r="L76" s="4">
        <v>45932</v>
      </c>
      <c r="O76" s="2">
        <v>0.75</v>
      </c>
      <c r="P76" s="2" t="s">
        <v>366</v>
      </c>
      <c r="Q76" s="2" t="s">
        <v>49</v>
      </c>
      <c r="R76" s="2" t="s">
        <v>98</v>
      </c>
      <c r="S76" s="4">
        <v>45993</v>
      </c>
      <c r="T76" s="4">
        <v>46357</v>
      </c>
      <c r="U76" s="2">
        <v>12</v>
      </c>
      <c r="X76" s="4">
        <v>45932</v>
      </c>
      <c r="Y76" s="4">
        <v>45992</v>
      </c>
      <c r="Z76" s="4">
        <v>45993</v>
      </c>
      <c r="AA76" s="4">
        <v>46357</v>
      </c>
      <c r="AE76" s="2">
        <v>23</v>
      </c>
      <c r="AF76" s="2" t="s">
        <v>51</v>
      </c>
      <c r="AG76" s="2" t="s">
        <v>52</v>
      </c>
      <c r="AH76" s="2" t="s">
        <v>53</v>
      </c>
      <c r="AI76" s="2" t="s">
        <v>81</v>
      </c>
      <c r="AJ76" s="2" t="s">
        <v>55</v>
      </c>
      <c r="AK76" s="2" t="s">
        <v>362</v>
      </c>
      <c r="AL76" s="2" t="s">
        <v>369</v>
      </c>
      <c r="AM76" s="6">
        <f t="shared" si="1"/>
        <v>3</v>
      </c>
      <c r="AN76" s="2" t="s">
        <v>72</v>
      </c>
      <c r="AO76" s="2" t="s">
        <v>125</v>
      </c>
    </row>
    <row r="77" spans="1:41" x14ac:dyDescent="0.15">
      <c r="A77" s="2" t="s">
        <v>370</v>
      </c>
      <c r="B77" s="2" t="s">
        <v>42</v>
      </c>
      <c r="C77" s="2" t="s">
        <v>43</v>
      </c>
      <c r="D77" s="4">
        <v>38049</v>
      </c>
      <c r="E77" s="2" t="s">
        <v>74</v>
      </c>
      <c r="F77" s="2" t="s">
        <v>103</v>
      </c>
      <c r="G77" s="2" t="s">
        <v>60</v>
      </c>
      <c r="H77" s="2" t="s">
        <v>180</v>
      </c>
      <c r="I77" s="2" t="s">
        <v>114</v>
      </c>
      <c r="J77" s="2" t="s">
        <v>78</v>
      </c>
      <c r="K77" s="2" t="s">
        <v>79</v>
      </c>
      <c r="L77" s="4">
        <v>45952</v>
      </c>
      <c r="O77" s="2">
        <v>0.66666666666666663</v>
      </c>
      <c r="P77" s="2" t="s">
        <v>371</v>
      </c>
      <c r="Q77" s="2" t="s">
        <v>49</v>
      </c>
      <c r="R77" s="2" t="s">
        <v>98</v>
      </c>
      <c r="S77" s="4">
        <v>46143</v>
      </c>
      <c r="T77" s="4">
        <v>46507</v>
      </c>
      <c r="U77" s="2">
        <v>12</v>
      </c>
      <c r="V77" s="4">
        <v>45952</v>
      </c>
      <c r="W77" s="4">
        <v>46012</v>
      </c>
      <c r="X77" s="4">
        <v>46082</v>
      </c>
      <c r="Y77" s="4">
        <v>46142</v>
      </c>
      <c r="Z77" s="4">
        <v>46143</v>
      </c>
      <c r="AA77" s="4">
        <v>46507</v>
      </c>
      <c r="AE77" s="2">
        <v>22</v>
      </c>
      <c r="AF77" s="2" t="s">
        <v>64</v>
      </c>
      <c r="AG77" s="2" t="s">
        <v>52</v>
      </c>
      <c r="AH77" s="2" t="s">
        <v>53</v>
      </c>
      <c r="AI77" s="2" t="s">
        <v>81</v>
      </c>
      <c r="AJ77" s="2" t="s">
        <v>55</v>
      </c>
      <c r="AK77" s="2" t="s">
        <v>468</v>
      </c>
      <c r="AL77" s="2" t="s">
        <v>372</v>
      </c>
      <c r="AM77" s="6">
        <f t="shared" si="1"/>
        <v>3</v>
      </c>
      <c r="AN77" s="2" t="s">
        <v>456</v>
      </c>
      <c r="AO77" s="2" t="s">
        <v>463</v>
      </c>
    </row>
    <row r="78" spans="1:41" x14ac:dyDescent="0.15">
      <c r="A78" s="2" t="s">
        <v>373</v>
      </c>
      <c r="B78" s="2" t="s">
        <v>42</v>
      </c>
      <c r="C78" s="2" t="s">
        <v>43</v>
      </c>
      <c r="D78" s="4">
        <v>37855</v>
      </c>
      <c r="E78" s="2" t="s">
        <v>74</v>
      </c>
      <c r="F78" s="2" t="s">
        <v>103</v>
      </c>
      <c r="G78" s="2" t="s">
        <v>60</v>
      </c>
      <c r="H78" s="2" t="s">
        <v>180</v>
      </c>
      <c r="J78" s="2" t="s">
        <v>467</v>
      </c>
      <c r="K78" s="2" t="s">
        <v>79</v>
      </c>
      <c r="L78" s="4">
        <v>46006</v>
      </c>
      <c r="O78" s="2">
        <v>0.5</v>
      </c>
      <c r="P78" s="2" t="s">
        <v>374</v>
      </c>
      <c r="Q78" s="2" t="s">
        <v>49</v>
      </c>
      <c r="R78" s="2" t="s">
        <v>98</v>
      </c>
      <c r="S78" s="4">
        <v>46068</v>
      </c>
      <c r="T78" s="4">
        <v>46432</v>
      </c>
      <c r="U78" s="2">
        <v>12</v>
      </c>
      <c r="X78" s="4">
        <v>46006</v>
      </c>
      <c r="Y78" s="4">
        <v>46067</v>
      </c>
      <c r="Z78" s="4">
        <v>46068</v>
      </c>
      <c r="AA78" s="4">
        <v>46432</v>
      </c>
      <c r="AE78" s="2">
        <v>23</v>
      </c>
      <c r="AF78" s="2" t="s">
        <v>51</v>
      </c>
      <c r="AG78" s="2" t="s">
        <v>52</v>
      </c>
      <c r="AH78" s="2" t="s">
        <v>53</v>
      </c>
      <c r="AI78" s="2" t="s">
        <v>81</v>
      </c>
      <c r="AJ78" s="2" t="s">
        <v>55</v>
      </c>
      <c r="AK78" s="2" t="s">
        <v>375</v>
      </c>
      <c r="AL78" s="2" t="s">
        <v>369</v>
      </c>
      <c r="AM78" s="6">
        <f t="shared" si="1"/>
        <v>8</v>
      </c>
      <c r="AN78" s="2" t="s">
        <v>72</v>
      </c>
      <c r="AO78" s="2" t="s">
        <v>464</v>
      </c>
    </row>
    <row r="79" spans="1:41" x14ac:dyDescent="0.15">
      <c r="A79" s="2" t="s">
        <v>377</v>
      </c>
      <c r="B79" s="2" t="s">
        <v>42</v>
      </c>
      <c r="C79" s="2" t="s">
        <v>96</v>
      </c>
      <c r="D79" s="4">
        <v>37490</v>
      </c>
      <c r="E79" s="2" t="s">
        <v>74</v>
      </c>
      <c r="F79" s="2" t="s">
        <v>90</v>
      </c>
      <c r="G79" s="2" t="s">
        <v>60</v>
      </c>
      <c r="H79" s="2" t="s">
        <v>104</v>
      </c>
      <c r="I79" s="2" t="s">
        <v>110</v>
      </c>
      <c r="J79" s="2" t="s">
        <v>78</v>
      </c>
      <c r="K79" s="2" t="s">
        <v>79</v>
      </c>
      <c r="L79" s="4">
        <v>46020</v>
      </c>
      <c r="M79" s="4">
        <v>46101</v>
      </c>
      <c r="N79" s="2" t="s">
        <v>378</v>
      </c>
      <c r="O79" s="2">
        <v>0.16666666666666671</v>
      </c>
      <c r="P79" s="2" t="s">
        <v>379</v>
      </c>
      <c r="Q79" s="2" t="s">
        <v>93</v>
      </c>
      <c r="R79" s="2" t="s">
        <v>98</v>
      </c>
      <c r="S79" s="4">
        <v>46082</v>
      </c>
      <c r="T79" s="4">
        <v>46446</v>
      </c>
      <c r="U79" s="2">
        <v>12</v>
      </c>
      <c r="X79" s="4">
        <v>46020</v>
      </c>
      <c r="Y79" s="4">
        <v>46081</v>
      </c>
      <c r="Z79" s="4">
        <v>46082</v>
      </c>
      <c r="AA79" s="4">
        <v>46446</v>
      </c>
      <c r="AE79" s="2">
        <v>24</v>
      </c>
      <c r="AF79" s="2" t="s">
        <v>51</v>
      </c>
      <c r="AG79" s="2" t="s">
        <v>52</v>
      </c>
      <c r="AH79" s="2" t="s">
        <v>53</v>
      </c>
      <c r="AI79" s="2" t="s">
        <v>81</v>
      </c>
      <c r="AJ79" s="2" t="s">
        <v>55</v>
      </c>
      <c r="AK79" s="2" t="s">
        <v>336</v>
      </c>
      <c r="AL79" s="2" t="s">
        <v>273</v>
      </c>
      <c r="AM79" s="6">
        <f t="shared" si="1"/>
        <v>8</v>
      </c>
      <c r="AN79" s="2" t="s">
        <v>72</v>
      </c>
      <c r="AO79" s="2" t="s">
        <v>380</v>
      </c>
    </row>
    <row r="80" spans="1:41" x14ac:dyDescent="0.15">
      <c r="A80" s="2" t="s">
        <v>381</v>
      </c>
      <c r="B80" s="2" t="s">
        <v>42</v>
      </c>
      <c r="C80" s="2" t="s">
        <v>43</v>
      </c>
      <c r="D80" s="4">
        <v>36439</v>
      </c>
      <c r="E80" s="2" t="s">
        <v>382</v>
      </c>
      <c r="F80" s="2" t="s">
        <v>383</v>
      </c>
      <c r="G80" s="2" t="s">
        <v>60</v>
      </c>
      <c r="H80" s="2" t="s">
        <v>104</v>
      </c>
      <c r="J80" s="2" t="s">
        <v>384</v>
      </c>
      <c r="K80" s="2" t="s">
        <v>383</v>
      </c>
      <c r="L80" s="4">
        <v>46055</v>
      </c>
      <c r="O80" s="2">
        <v>0.41666666666666669</v>
      </c>
      <c r="P80" s="2" t="s">
        <v>385</v>
      </c>
      <c r="Q80" s="2" t="s">
        <v>49</v>
      </c>
      <c r="R80" s="2" t="s">
        <v>98</v>
      </c>
      <c r="S80" s="4">
        <v>46114</v>
      </c>
      <c r="T80" s="4">
        <v>46478</v>
      </c>
      <c r="U80" s="2">
        <v>12</v>
      </c>
      <c r="X80" s="4">
        <v>46055</v>
      </c>
      <c r="Y80" s="4">
        <v>46115</v>
      </c>
      <c r="Z80" s="4">
        <v>46114</v>
      </c>
      <c r="AA80" s="4">
        <v>46478</v>
      </c>
      <c r="AE80" s="2">
        <v>27</v>
      </c>
      <c r="AF80" s="2" t="s">
        <v>51</v>
      </c>
      <c r="AG80" s="2" t="s">
        <v>52</v>
      </c>
      <c r="AH80" s="2" t="s">
        <v>53</v>
      </c>
      <c r="AI80" s="2" t="s">
        <v>81</v>
      </c>
      <c r="AJ80" s="2" t="s">
        <v>55</v>
      </c>
      <c r="AK80" s="2" t="s">
        <v>386</v>
      </c>
      <c r="AL80" s="2" t="s">
        <v>147</v>
      </c>
      <c r="AM80" s="6">
        <f t="shared" si="1"/>
        <v>10</v>
      </c>
      <c r="AN80" s="2" t="s">
        <v>189</v>
      </c>
      <c r="AO80" s="2" t="s">
        <v>238</v>
      </c>
    </row>
    <row r="81" spans="1:41" x14ac:dyDescent="0.15">
      <c r="A81" s="2" t="s">
        <v>387</v>
      </c>
      <c r="B81" s="2" t="s">
        <v>42</v>
      </c>
      <c r="C81" s="2" t="s">
        <v>43</v>
      </c>
      <c r="D81" s="4">
        <v>31391</v>
      </c>
      <c r="E81" s="2" t="s">
        <v>86</v>
      </c>
      <c r="F81" s="2" t="s">
        <v>86</v>
      </c>
      <c r="G81" s="2" t="s">
        <v>67</v>
      </c>
      <c r="H81" s="2" t="s">
        <v>67</v>
      </c>
      <c r="J81" s="2" t="s">
        <v>78</v>
      </c>
      <c r="K81" s="2" t="s">
        <v>79</v>
      </c>
      <c r="L81" s="4">
        <v>46055</v>
      </c>
      <c r="O81" s="2">
        <v>0.41666666666666669</v>
      </c>
      <c r="P81" s="2" t="s">
        <v>385</v>
      </c>
      <c r="Q81" s="2" t="s">
        <v>49</v>
      </c>
      <c r="R81" s="2" t="s">
        <v>98</v>
      </c>
      <c r="S81" s="4">
        <v>46114</v>
      </c>
      <c r="T81" s="4">
        <v>46478</v>
      </c>
      <c r="U81" s="2">
        <v>12</v>
      </c>
      <c r="X81" s="4">
        <v>46055</v>
      </c>
      <c r="Y81" s="4">
        <v>46115</v>
      </c>
      <c r="Z81" s="4">
        <v>46114</v>
      </c>
      <c r="AA81" s="4">
        <v>46478</v>
      </c>
      <c r="AE81" s="2">
        <v>41</v>
      </c>
      <c r="AF81" s="2" t="s">
        <v>51</v>
      </c>
      <c r="AG81" s="2" t="s">
        <v>52</v>
      </c>
      <c r="AH81" s="2" t="s">
        <v>53</v>
      </c>
      <c r="AI81" s="2" t="s">
        <v>54</v>
      </c>
      <c r="AJ81" s="2" t="s">
        <v>55</v>
      </c>
      <c r="AK81" s="2" t="s">
        <v>388</v>
      </c>
      <c r="AL81" s="2" t="s">
        <v>147</v>
      </c>
      <c r="AM81" s="6">
        <f t="shared" si="1"/>
        <v>12</v>
      </c>
      <c r="AN81" s="2" t="s">
        <v>72</v>
      </c>
      <c r="AO81" s="2" t="s">
        <v>389</v>
      </c>
    </row>
    <row r="82" spans="1:41" x14ac:dyDescent="0.15">
      <c r="A82" s="2" t="s">
        <v>390</v>
      </c>
      <c r="B82" s="2" t="s">
        <v>174</v>
      </c>
      <c r="C82" s="2" t="s">
        <v>43</v>
      </c>
      <c r="D82" s="4">
        <v>34912</v>
      </c>
      <c r="E82" s="2" t="s">
        <v>86</v>
      </c>
      <c r="G82" s="2" t="s">
        <v>60</v>
      </c>
      <c r="H82" s="2" t="s">
        <v>76</v>
      </c>
      <c r="J82" s="2" t="s">
        <v>467</v>
      </c>
      <c r="K82" s="2" t="s">
        <v>79</v>
      </c>
      <c r="L82" s="4">
        <v>46055</v>
      </c>
      <c r="M82" s="4">
        <v>46116</v>
      </c>
      <c r="O82" s="2">
        <v>0.16666666666666671</v>
      </c>
      <c r="P82" s="2" t="s">
        <v>385</v>
      </c>
      <c r="Q82" s="2" t="s">
        <v>93</v>
      </c>
      <c r="R82" s="2" t="s">
        <v>101</v>
      </c>
      <c r="S82" s="4">
        <v>46055</v>
      </c>
      <c r="T82" s="4">
        <v>46115</v>
      </c>
      <c r="U82" s="2">
        <v>2</v>
      </c>
      <c r="X82" s="4">
        <v>46055</v>
      </c>
      <c r="Y82" s="4">
        <v>46115</v>
      </c>
      <c r="AE82" s="2">
        <v>31</v>
      </c>
      <c r="AF82" s="2" t="s">
        <v>51</v>
      </c>
      <c r="AG82" s="2" t="s">
        <v>52</v>
      </c>
      <c r="AH82" s="2" t="s">
        <v>53</v>
      </c>
      <c r="AI82" s="2" t="s">
        <v>54</v>
      </c>
      <c r="AJ82" s="2" t="s">
        <v>55</v>
      </c>
      <c r="AK82" s="2" t="s">
        <v>391</v>
      </c>
      <c r="AL82" s="2" t="s">
        <v>392</v>
      </c>
      <c r="AM82" s="6">
        <f t="shared" si="1"/>
        <v>8</v>
      </c>
      <c r="AN82" s="2" t="s">
        <v>456</v>
      </c>
      <c r="AO82" s="2" t="s">
        <v>393</v>
      </c>
    </row>
    <row r="83" spans="1:41" x14ac:dyDescent="0.15">
      <c r="A83" s="2" t="s">
        <v>395</v>
      </c>
      <c r="B83" s="2" t="s">
        <v>42</v>
      </c>
      <c r="C83" s="2" t="s">
        <v>43</v>
      </c>
      <c r="D83" s="4">
        <v>36178</v>
      </c>
      <c r="E83" s="2" t="s">
        <v>117</v>
      </c>
      <c r="G83" s="2" t="s">
        <v>60</v>
      </c>
      <c r="H83" s="2" t="s">
        <v>104</v>
      </c>
      <c r="I83" s="2" t="s">
        <v>110</v>
      </c>
      <c r="J83" s="2" t="s">
        <v>78</v>
      </c>
      <c r="K83" s="2" t="s">
        <v>79</v>
      </c>
      <c r="L83" s="4">
        <v>46076</v>
      </c>
      <c r="O83" s="2">
        <v>0.33333333333333331</v>
      </c>
      <c r="P83" s="2" t="s">
        <v>396</v>
      </c>
      <c r="Q83" s="2" t="s">
        <v>49</v>
      </c>
      <c r="R83" s="2" t="s">
        <v>98</v>
      </c>
      <c r="S83" s="4">
        <v>46135</v>
      </c>
      <c r="T83" s="4">
        <v>46499</v>
      </c>
      <c r="U83" s="2">
        <v>12</v>
      </c>
      <c r="X83" s="4">
        <v>46076</v>
      </c>
      <c r="Y83" s="4">
        <v>46134</v>
      </c>
      <c r="Z83" s="4">
        <v>46135</v>
      </c>
      <c r="AA83" s="4">
        <v>46499</v>
      </c>
      <c r="AE83" s="2">
        <v>27</v>
      </c>
      <c r="AF83" s="2" t="s">
        <v>51</v>
      </c>
      <c r="AG83" s="2" t="s">
        <v>52</v>
      </c>
      <c r="AH83" s="2" t="s">
        <v>53</v>
      </c>
      <c r="AI83" s="2" t="s">
        <v>81</v>
      </c>
      <c r="AJ83" s="2" t="s">
        <v>55</v>
      </c>
      <c r="AK83" s="2" t="s">
        <v>397</v>
      </c>
      <c r="AL83" s="2" t="s">
        <v>398</v>
      </c>
      <c r="AM83" s="6">
        <f t="shared" si="1"/>
        <v>1</v>
      </c>
      <c r="AN83" s="2" t="s">
        <v>189</v>
      </c>
      <c r="AO83" s="2" t="s">
        <v>238</v>
      </c>
    </row>
    <row r="84" spans="1:41" x14ac:dyDescent="0.15">
      <c r="A84" s="2" t="s">
        <v>399</v>
      </c>
      <c r="B84" s="2" t="s">
        <v>42</v>
      </c>
      <c r="C84" s="2" t="s">
        <v>400</v>
      </c>
      <c r="D84" s="4">
        <v>38634</v>
      </c>
      <c r="E84" s="2" t="s">
        <v>74</v>
      </c>
      <c r="F84" s="2" t="s">
        <v>103</v>
      </c>
      <c r="G84" s="2" t="s">
        <v>118</v>
      </c>
      <c r="H84" s="2" t="s">
        <v>134</v>
      </c>
      <c r="J84" s="2" t="s">
        <v>467</v>
      </c>
      <c r="K84" s="2" t="s">
        <v>79</v>
      </c>
      <c r="L84" s="4">
        <v>46078</v>
      </c>
      <c r="M84" s="4">
        <v>46203</v>
      </c>
      <c r="O84" s="2">
        <v>0.33333333333333331</v>
      </c>
      <c r="P84" s="2" t="s">
        <v>401</v>
      </c>
      <c r="Q84" s="2" t="s">
        <v>93</v>
      </c>
      <c r="R84" s="2" t="s">
        <v>136</v>
      </c>
      <c r="S84" s="4">
        <v>46078</v>
      </c>
      <c r="T84" s="4">
        <v>46258</v>
      </c>
      <c r="U84" s="2">
        <v>6</v>
      </c>
      <c r="V84" s="4">
        <v>46078</v>
      </c>
      <c r="W84" s="4">
        <v>46258</v>
      </c>
      <c r="AE84" s="2">
        <v>21</v>
      </c>
      <c r="AF84" s="2" t="s">
        <v>51</v>
      </c>
      <c r="AG84" s="2" t="s">
        <v>52</v>
      </c>
      <c r="AH84" s="2" t="s">
        <v>53</v>
      </c>
      <c r="AI84" s="2" t="s">
        <v>81</v>
      </c>
      <c r="AJ84" s="2" t="s">
        <v>55</v>
      </c>
      <c r="AK84" s="2" t="s">
        <v>453</v>
      </c>
      <c r="AL84" s="2" t="s">
        <v>402</v>
      </c>
      <c r="AM84" s="6">
        <f t="shared" si="1"/>
        <v>10</v>
      </c>
      <c r="AN84" s="2" t="s">
        <v>285</v>
      </c>
      <c r="AO84" s="2" t="s">
        <v>155</v>
      </c>
    </row>
    <row r="85" spans="1:41" x14ac:dyDescent="0.15">
      <c r="A85" s="2" t="s">
        <v>403</v>
      </c>
      <c r="B85" s="2" t="s">
        <v>42</v>
      </c>
      <c r="C85" s="2" t="s">
        <v>96</v>
      </c>
      <c r="D85" s="4">
        <v>37985</v>
      </c>
      <c r="E85" s="2" t="s">
        <v>282</v>
      </c>
      <c r="G85" s="2" t="s">
        <v>118</v>
      </c>
      <c r="H85" s="2" t="s">
        <v>134</v>
      </c>
      <c r="J85" s="2" t="s">
        <v>175</v>
      </c>
      <c r="K85" s="2" t="s">
        <v>175</v>
      </c>
      <c r="L85" s="4">
        <v>46078</v>
      </c>
      <c r="M85" s="4">
        <v>46081</v>
      </c>
      <c r="O85" s="2">
        <v>0</v>
      </c>
      <c r="P85" s="2" t="s">
        <v>401</v>
      </c>
      <c r="Q85" s="2" t="s">
        <v>93</v>
      </c>
      <c r="R85" s="2" t="s">
        <v>136</v>
      </c>
      <c r="S85" s="4">
        <v>46078</v>
      </c>
      <c r="T85" s="4">
        <v>46258</v>
      </c>
      <c r="U85" s="2">
        <v>6</v>
      </c>
      <c r="V85" s="4">
        <v>46078</v>
      </c>
      <c r="W85" s="4">
        <v>46258</v>
      </c>
      <c r="AE85" s="2">
        <v>23</v>
      </c>
      <c r="AF85" s="2" t="s">
        <v>51</v>
      </c>
      <c r="AG85" s="2" t="s">
        <v>52</v>
      </c>
      <c r="AH85" s="2" t="s">
        <v>53</v>
      </c>
      <c r="AI85" s="2" t="s">
        <v>81</v>
      </c>
      <c r="AJ85" s="2" t="s">
        <v>55</v>
      </c>
      <c r="AK85" s="2" t="s">
        <v>111</v>
      </c>
      <c r="AL85" s="2" t="s">
        <v>404</v>
      </c>
      <c r="AM85" s="6">
        <f t="shared" si="1"/>
        <v>12</v>
      </c>
      <c r="AN85" s="2" t="s">
        <v>72</v>
      </c>
      <c r="AO85" s="2" t="s">
        <v>194</v>
      </c>
    </row>
    <row r="86" spans="1:41" x14ac:dyDescent="0.15">
      <c r="A86" s="2" t="s">
        <v>405</v>
      </c>
      <c r="B86" s="2" t="s">
        <v>42</v>
      </c>
      <c r="C86" s="2" t="s">
        <v>43</v>
      </c>
      <c r="D86" s="4">
        <v>38254</v>
      </c>
      <c r="E86" s="2" t="s">
        <v>74</v>
      </c>
      <c r="F86" s="2" t="s">
        <v>103</v>
      </c>
      <c r="G86" s="2" t="s">
        <v>60</v>
      </c>
      <c r="H86" s="2" t="s">
        <v>104</v>
      </c>
      <c r="J86" s="2" t="s">
        <v>467</v>
      </c>
      <c r="K86" s="2" t="s">
        <v>79</v>
      </c>
      <c r="L86" s="4">
        <v>46084</v>
      </c>
      <c r="O86" s="2">
        <v>0.33333333333333331</v>
      </c>
      <c r="P86" s="2" t="s">
        <v>406</v>
      </c>
      <c r="Q86" s="2" t="s">
        <v>49</v>
      </c>
      <c r="R86" s="2" t="s">
        <v>98</v>
      </c>
      <c r="S86" s="4">
        <v>46145</v>
      </c>
      <c r="T86" s="4">
        <v>46509</v>
      </c>
      <c r="U86" s="2">
        <v>12</v>
      </c>
      <c r="X86" s="4">
        <v>46084</v>
      </c>
      <c r="Y86" s="4">
        <v>46144</v>
      </c>
      <c r="Z86" s="4">
        <v>46145</v>
      </c>
      <c r="AA86" s="4">
        <v>46509</v>
      </c>
      <c r="AE86" s="2">
        <v>22</v>
      </c>
      <c r="AF86" s="2" t="s">
        <v>51</v>
      </c>
      <c r="AG86" s="2" t="s">
        <v>52</v>
      </c>
      <c r="AH86" s="2" t="s">
        <v>53</v>
      </c>
      <c r="AI86" s="2" t="s">
        <v>81</v>
      </c>
      <c r="AJ86" s="2" t="s">
        <v>55</v>
      </c>
      <c r="AK86" s="2" t="s">
        <v>468</v>
      </c>
      <c r="AL86" s="2" t="s">
        <v>407</v>
      </c>
      <c r="AM86" s="6">
        <f t="shared" si="1"/>
        <v>9</v>
      </c>
      <c r="AN86" s="2" t="s">
        <v>72</v>
      </c>
      <c r="AO86" s="2" t="s">
        <v>408</v>
      </c>
    </row>
    <row r="87" spans="1:41" x14ac:dyDescent="0.15">
      <c r="A87" s="2" t="s">
        <v>409</v>
      </c>
      <c r="B87" s="2" t="s">
        <v>42</v>
      </c>
      <c r="C87" s="2" t="s">
        <v>96</v>
      </c>
      <c r="D87" s="4">
        <v>35434</v>
      </c>
      <c r="E87" s="2" t="s">
        <v>117</v>
      </c>
      <c r="G87" s="2" t="s">
        <v>60</v>
      </c>
      <c r="H87" s="2" t="s">
        <v>104</v>
      </c>
      <c r="I87" s="2" t="s">
        <v>114</v>
      </c>
      <c r="J87" s="2" t="s">
        <v>78</v>
      </c>
      <c r="K87" s="2" t="s">
        <v>79</v>
      </c>
      <c r="L87" s="4">
        <v>46090</v>
      </c>
      <c r="M87" s="4">
        <v>46113</v>
      </c>
      <c r="O87" s="2">
        <v>0</v>
      </c>
      <c r="P87" s="2" t="s">
        <v>410</v>
      </c>
      <c r="Q87" s="2" t="s">
        <v>93</v>
      </c>
      <c r="R87" s="2" t="s">
        <v>101</v>
      </c>
      <c r="S87" s="4">
        <v>46090</v>
      </c>
      <c r="T87" s="4">
        <v>46150</v>
      </c>
      <c r="U87" s="2">
        <v>2</v>
      </c>
      <c r="X87" s="4">
        <v>46090</v>
      </c>
      <c r="Y87" s="4">
        <v>46150</v>
      </c>
      <c r="AE87" s="2">
        <v>29</v>
      </c>
      <c r="AF87" s="2" t="s">
        <v>51</v>
      </c>
      <c r="AG87" s="2" t="s">
        <v>52</v>
      </c>
      <c r="AH87" s="2" t="s">
        <v>53</v>
      </c>
      <c r="AI87" s="2" t="s">
        <v>81</v>
      </c>
      <c r="AJ87" s="2" t="s">
        <v>55</v>
      </c>
      <c r="AK87" s="2" t="s">
        <v>111</v>
      </c>
      <c r="AL87" s="2" t="s">
        <v>411</v>
      </c>
      <c r="AM87" s="6">
        <f t="shared" si="1"/>
        <v>1</v>
      </c>
      <c r="AN87" s="2" t="s">
        <v>99</v>
      </c>
      <c r="AO87" s="2" t="s">
        <v>190</v>
      </c>
    </row>
    <row r="88" spans="1:41" x14ac:dyDescent="0.15">
      <c r="A88" s="2" t="s">
        <v>412</v>
      </c>
      <c r="B88" s="2" t="s">
        <v>42</v>
      </c>
      <c r="C88" s="2" t="s">
        <v>43</v>
      </c>
      <c r="D88" s="4">
        <v>37024</v>
      </c>
      <c r="E88" s="2" t="s">
        <v>74</v>
      </c>
      <c r="F88" s="2" t="s">
        <v>103</v>
      </c>
      <c r="G88" s="2" t="s">
        <v>60</v>
      </c>
      <c r="H88" s="2" t="s">
        <v>104</v>
      </c>
      <c r="I88" s="2" t="s">
        <v>77</v>
      </c>
      <c r="J88" s="2" t="s">
        <v>78</v>
      </c>
      <c r="K88" s="2" t="s">
        <v>79</v>
      </c>
      <c r="L88" s="4">
        <v>46104</v>
      </c>
      <c r="O88" s="2">
        <v>0.25</v>
      </c>
      <c r="P88" s="2" t="s">
        <v>413</v>
      </c>
      <c r="Q88" s="2" t="s">
        <v>49</v>
      </c>
      <c r="R88" s="2" t="s">
        <v>98</v>
      </c>
      <c r="S88" s="4">
        <v>46165</v>
      </c>
      <c r="T88" s="4">
        <v>46529</v>
      </c>
      <c r="U88" s="2">
        <v>12</v>
      </c>
      <c r="X88" s="4">
        <v>46104</v>
      </c>
      <c r="Y88" s="4">
        <v>46164</v>
      </c>
      <c r="Z88" s="4">
        <v>46165</v>
      </c>
      <c r="AA88" s="4">
        <v>46529</v>
      </c>
      <c r="AE88" s="2">
        <v>25</v>
      </c>
      <c r="AF88" s="2" t="s">
        <v>51</v>
      </c>
      <c r="AG88" s="2" t="s">
        <v>52</v>
      </c>
      <c r="AH88" s="2" t="s">
        <v>53</v>
      </c>
      <c r="AI88" s="2" t="s">
        <v>81</v>
      </c>
      <c r="AJ88" s="2" t="s">
        <v>55</v>
      </c>
      <c r="AK88" s="2" t="s">
        <v>414</v>
      </c>
      <c r="AL88" s="2" t="s">
        <v>273</v>
      </c>
      <c r="AM88" s="6">
        <f t="shared" si="1"/>
        <v>5</v>
      </c>
      <c r="AN88" s="2" t="s">
        <v>72</v>
      </c>
      <c r="AO88" s="2" t="s">
        <v>465</v>
      </c>
    </row>
    <row r="89" spans="1:41" x14ac:dyDescent="0.15">
      <c r="A89" s="2" t="s">
        <v>415</v>
      </c>
      <c r="B89" s="2" t="s">
        <v>42</v>
      </c>
      <c r="C89" s="2" t="s">
        <v>43</v>
      </c>
      <c r="D89" s="4">
        <v>35825</v>
      </c>
      <c r="E89" s="2" t="s">
        <v>121</v>
      </c>
      <c r="F89" s="2" t="s">
        <v>86</v>
      </c>
      <c r="G89" s="2" t="s">
        <v>60</v>
      </c>
      <c r="H89" s="2" t="s">
        <v>104</v>
      </c>
      <c r="I89" s="2" t="s">
        <v>114</v>
      </c>
      <c r="J89" s="2" t="s">
        <v>78</v>
      </c>
      <c r="K89" s="2" t="s">
        <v>79</v>
      </c>
      <c r="L89" s="4">
        <v>46113</v>
      </c>
      <c r="O89" s="2">
        <v>0.25</v>
      </c>
      <c r="P89" s="2" t="s">
        <v>416</v>
      </c>
      <c r="Q89" s="2" t="s">
        <v>49</v>
      </c>
      <c r="R89" s="2" t="s">
        <v>98</v>
      </c>
      <c r="S89" s="4">
        <v>46174</v>
      </c>
      <c r="T89" s="4">
        <v>46538</v>
      </c>
      <c r="U89" s="2">
        <v>12</v>
      </c>
      <c r="X89" s="4">
        <v>46113</v>
      </c>
      <c r="Y89" s="4">
        <v>46173</v>
      </c>
      <c r="Z89" s="4">
        <v>46174</v>
      </c>
      <c r="AA89" s="4">
        <v>46538</v>
      </c>
      <c r="AE89" s="2">
        <v>28</v>
      </c>
      <c r="AF89" s="2" t="s">
        <v>64</v>
      </c>
      <c r="AG89" s="2" t="s">
        <v>52</v>
      </c>
      <c r="AH89" s="2" t="s">
        <v>53</v>
      </c>
      <c r="AI89" s="2" t="s">
        <v>54</v>
      </c>
      <c r="AJ89" s="2" t="s">
        <v>55</v>
      </c>
      <c r="AK89" s="2" t="s">
        <v>454</v>
      </c>
      <c r="AL89" s="2" t="s">
        <v>404</v>
      </c>
      <c r="AM89" s="6">
        <f t="shared" si="1"/>
        <v>1</v>
      </c>
      <c r="AN89" s="2" t="s">
        <v>72</v>
      </c>
      <c r="AO89" s="2" t="s">
        <v>466</v>
      </c>
    </row>
    <row r="90" spans="1:41" x14ac:dyDescent="0.15">
      <c r="A90" s="2" t="s">
        <v>417</v>
      </c>
      <c r="B90" s="2" t="s">
        <v>42</v>
      </c>
      <c r="C90" s="2" t="s">
        <v>43</v>
      </c>
      <c r="D90" s="4">
        <v>37146</v>
      </c>
      <c r="E90" s="2" t="s">
        <v>74</v>
      </c>
      <c r="F90" s="2" t="s">
        <v>90</v>
      </c>
      <c r="G90" s="2" t="s">
        <v>60</v>
      </c>
      <c r="H90" s="2" t="s">
        <v>104</v>
      </c>
      <c r="I90" s="2" t="s">
        <v>114</v>
      </c>
      <c r="J90" s="2" t="s">
        <v>78</v>
      </c>
      <c r="K90" s="2" t="s">
        <v>79</v>
      </c>
      <c r="L90" s="4">
        <v>46113</v>
      </c>
      <c r="O90" s="2">
        <v>0.25</v>
      </c>
      <c r="P90" s="2" t="s">
        <v>416</v>
      </c>
      <c r="Q90" s="2" t="s">
        <v>49</v>
      </c>
      <c r="R90" s="2" t="s">
        <v>98</v>
      </c>
      <c r="S90" s="4">
        <v>46174</v>
      </c>
      <c r="T90" s="4">
        <v>46538</v>
      </c>
      <c r="U90" s="2">
        <v>12</v>
      </c>
      <c r="X90" s="4">
        <v>46113</v>
      </c>
      <c r="Y90" s="4">
        <v>46173</v>
      </c>
      <c r="Z90" s="4">
        <v>46174</v>
      </c>
      <c r="AA90" s="4">
        <v>46538</v>
      </c>
      <c r="AE90" s="2">
        <v>25</v>
      </c>
      <c r="AF90" s="2" t="s">
        <v>51</v>
      </c>
      <c r="AG90" s="2" t="s">
        <v>52</v>
      </c>
      <c r="AH90" s="2" t="s">
        <v>53</v>
      </c>
      <c r="AI90" s="2" t="s">
        <v>81</v>
      </c>
      <c r="AJ90" s="2" t="s">
        <v>55</v>
      </c>
      <c r="AK90" s="2" t="s">
        <v>468</v>
      </c>
      <c r="AL90" s="2" t="s">
        <v>418</v>
      </c>
      <c r="AM90" s="6">
        <f t="shared" si="1"/>
        <v>9</v>
      </c>
      <c r="AN90" s="2" t="s">
        <v>233</v>
      </c>
      <c r="AO90" s="2" t="s">
        <v>256</v>
      </c>
    </row>
    <row r="91" spans="1:41" x14ac:dyDescent="0.15">
      <c r="A91" s="2" t="s">
        <v>419</v>
      </c>
      <c r="B91" s="2" t="s">
        <v>42</v>
      </c>
      <c r="C91" s="2" t="s">
        <v>43</v>
      </c>
      <c r="D91" s="4">
        <v>37726</v>
      </c>
      <c r="E91" s="2" t="s">
        <v>74</v>
      </c>
      <c r="F91" s="2" t="s">
        <v>109</v>
      </c>
      <c r="G91" s="2" t="s">
        <v>118</v>
      </c>
      <c r="H91" s="2" t="s">
        <v>134</v>
      </c>
      <c r="I91" s="2" t="s">
        <v>110</v>
      </c>
      <c r="J91" s="2" t="s">
        <v>78</v>
      </c>
      <c r="K91" s="2" t="s">
        <v>79</v>
      </c>
      <c r="L91" s="4">
        <v>46118</v>
      </c>
      <c r="O91" s="2">
        <v>0.25</v>
      </c>
      <c r="P91" s="2" t="s">
        <v>420</v>
      </c>
      <c r="Q91" s="2" t="s">
        <v>49</v>
      </c>
      <c r="R91" s="2" t="s">
        <v>136</v>
      </c>
      <c r="S91" s="4">
        <v>46118</v>
      </c>
      <c r="T91" s="4">
        <v>46300</v>
      </c>
      <c r="U91" s="2">
        <v>6</v>
      </c>
      <c r="V91" s="4">
        <v>46118</v>
      </c>
      <c r="W91" s="4">
        <v>46300</v>
      </c>
      <c r="AE91" s="2">
        <v>23</v>
      </c>
      <c r="AF91" s="2" t="s">
        <v>51</v>
      </c>
      <c r="AG91" s="2" t="s">
        <v>52</v>
      </c>
      <c r="AH91" s="2" t="s">
        <v>53</v>
      </c>
      <c r="AI91" s="2" t="s">
        <v>81</v>
      </c>
      <c r="AJ91" s="2" t="s">
        <v>55</v>
      </c>
      <c r="AK91" s="2" t="s">
        <v>468</v>
      </c>
      <c r="AL91" s="2" t="s">
        <v>421</v>
      </c>
      <c r="AM91" s="6">
        <f t="shared" si="1"/>
        <v>4</v>
      </c>
      <c r="AN91" s="2" t="s">
        <v>72</v>
      </c>
      <c r="AO91" s="2" t="s">
        <v>164</v>
      </c>
    </row>
    <row r="92" spans="1:41" x14ac:dyDescent="0.15">
      <c r="A92" s="2" t="s">
        <v>422</v>
      </c>
      <c r="B92" s="2" t="s">
        <v>42</v>
      </c>
      <c r="C92" s="2" t="s">
        <v>96</v>
      </c>
      <c r="D92" s="4">
        <v>38218</v>
      </c>
      <c r="E92" s="2" t="s">
        <v>58</v>
      </c>
      <c r="G92" s="2" t="s">
        <v>118</v>
      </c>
      <c r="H92" s="2" t="s">
        <v>134</v>
      </c>
      <c r="J92" s="2" t="s">
        <v>62</v>
      </c>
      <c r="K92" s="2" t="s">
        <v>63</v>
      </c>
      <c r="L92" s="4">
        <v>46119</v>
      </c>
      <c r="M92" s="4">
        <v>46120</v>
      </c>
      <c r="N92" s="2" t="s">
        <v>423</v>
      </c>
      <c r="O92" s="2">
        <v>0</v>
      </c>
      <c r="P92" s="2" t="s">
        <v>424</v>
      </c>
      <c r="Q92" s="2" t="s">
        <v>93</v>
      </c>
      <c r="R92" s="2" t="s">
        <v>136</v>
      </c>
      <c r="S92" s="4">
        <v>46119</v>
      </c>
      <c r="T92" s="4">
        <v>46301</v>
      </c>
      <c r="U92" s="2">
        <v>6</v>
      </c>
      <c r="V92" s="4">
        <v>46119</v>
      </c>
      <c r="W92" s="4">
        <v>46301</v>
      </c>
      <c r="AE92" s="2">
        <v>22</v>
      </c>
      <c r="AF92" s="2" t="s">
        <v>64</v>
      </c>
      <c r="AG92" s="2" t="s">
        <v>52</v>
      </c>
      <c r="AH92" s="2" t="s">
        <v>53</v>
      </c>
      <c r="AI92" s="2" t="s">
        <v>81</v>
      </c>
      <c r="AJ92" s="2" t="s">
        <v>55</v>
      </c>
      <c r="AK92" s="2" t="s">
        <v>425</v>
      </c>
      <c r="AL92" s="2" t="s">
        <v>426</v>
      </c>
      <c r="AM92" s="6">
        <f t="shared" si="1"/>
        <v>8</v>
      </c>
      <c r="AN92" s="2" t="s">
        <v>427</v>
      </c>
      <c r="AO92" s="2" t="s">
        <v>461</v>
      </c>
    </row>
    <row r="93" spans="1:41" x14ac:dyDescent="0.15">
      <c r="A93" s="2" t="s">
        <v>428</v>
      </c>
      <c r="B93" s="2" t="s">
        <v>42</v>
      </c>
      <c r="C93" s="2" t="s">
        <v>400</v>
      </c>
      <c r="D93" s="4">
        <v>38243</v>
      </c>
      <c r="E93" s="2" t="s">
        <v>74</v>
      </c>
      <c r="F93" s="2" t="s">
        <v>90</v>
      </c>
      <c r="G93" s="2" t="s">
        <v>118</v>
      </c>
      <c r="H93" s="2" t="s">
        <v>134</v>
      </c>
      <c r="J93" s="2" t="s">
        <v>467</v>
      </c>
      <c r="K93" s="2" t="s">
        <v>79</v>
      </c>
      <c r="L93" s="4">
        <v>46125</v>
      </c>
      <c r="O93" s="2">
        <v>0.16666666666666671</v>
      </c>
      <c r="P93" s="2" t="s">
        <v>429</v>
      </c>
      <c r="Q93" s="2" t="s">
        <v>49</v>
      </c>
      <c r="R93" s="2" t="s">
        <v>136</v>
      </c>
      <c r="S93" s="4">
        <v>46125</v>
      </c>
      <c r="T93" s="4">
        <v>46307</v>
      </c>
      <c r="U93" s="2">
        <v>6</v>
      </c>
      <c r="V93" s="4">
        <v>46125</v>
      </c>
      <c r="W93" s="4">
        <v>46307</v>
      </c>
      <c r="AE93" s="2">
        <v>22</v>
      </c>
      <c r="AF93" s="2" t="s">
        <v>51</v>
      </c>
      <c r="AG93" s="2" t="s">
        <v>52</v>
      </c>
      <c r="AH93" s="2" t="s">
        <v>53</v>
      </c>
      <c r="AI93" s="2" t="s">
        <v>81</v>
      </c>
      <c r="AJ93" s="2" t="s">
        <v>55</v>
      </c>
      <c r="AK93" s="2" t="s">
        <v>468</v>
      </c>
      <c r="AL93" s="2" t="s">
        <v>372</v>
      </c>
      <c r="AM93" s="6">
        <f t="shared" si="1"/>
        <v>9</v>
      </c>
      <c r="AN93" s="2" t="s">
        <v>128</v>
      </c>
      <c r="AO93" s="2" t="s">
        <v>255</v>
      </c>
    </row>
    <row r="94" spans="1:41" x14ac:dyDescent="0.15">
      <c r="A94" s="2" t="s">
        <v>430</v>
      </c>
      <c r="B94" s="2" t="s">
        <v>42</v>
      </c>
      <c r="C94" s="2" t="s">
        <v>96</v>
      </c>
      <c r="D94" s="4">
        <v>38674</v>
      </c>
      <c r="E94" s="2" t="s">
        <v>74</v>
      </c>
      <c r="F94" s="2" t="s">
        <v>103</v>
      </c>
      <c r="G94" s="2" t="s">
        <v>118</v>
      </c>
      <c r="H94" s="2" t="s">
        <v>134</v>
      </c>
      <c r="I94" s="2" t="s">
        <v>114</v>
      </c>
      <c r="J94" s="2" t="s">
        <v>78</v>
      </c>
      <c r="K94" s="2" t="s">
        <v>79</v>
      </c>
      <c r="L94" s="4">
        <v>46126</v>
      </c>
      <c r="M94" s="4">
        <v>46126</v>
      </c>
      <c r="N94" s="2" t="s">
        <v>423</v>
      </c>
      <c r="O94" s="2">
        <v>0</v>
      </c>
      <c r="P94" s="2" t="s">
        <v>431</v>
      </c>
      <c r="Q94" s="2" t="s">
        <v>93</v>
      </c>
      <c r="R94" s="2" t="s">
        <v>136</v>
      </c>
      <c r="S94" s="4">
        <v>46126</v>
      </c>
      <c r="T94" s="4">
        <v>46308</v>
      </c>
      <c r="U94" s="2">
        <v>6</v>
      </c>
      <c r="V94" s="4">
        <v>46126</v>
      </c>
      <c r="W94" s="4">
        <v>46308</v>
      </c>
      <c r="AE94" s="2">
        <v>21</v>
      </c>
      <c r="AF94" s="2" t="s">
        <v>51</v>
      </c>
      <c r="AG94" s="2" t="s">
        <v>52</v>
      </c>
      <c r="AH94" s="2" t="s">
        <v>53</v>
      </c>
      <c r="AI94" s="2" t="s">
        <v>81</v>
      </c>
      <c r="AJ94" s="2" t="s">
        <v>55</v>
      </c>
      <c r="AK94" s="2" t="s">
        <v>468</v>
      </c>
      <c r="AL94" s="2" t="s">
        <v>232</v>
      </c>
      <c r="AM94" s="6">
        <f t="shared" si="1"/>
        <v>11</v>
      </c>
      <c r="AN94" s="2" t="s">
        <v>99</v>
      </c>
      <c r="AO94" s="2" t="s">
        <v>463</v>
      </c>
    </row>
    <row r="95" spans="1:41" x14ac:dyDescent="0.15">
      <c r="A95" s="2" t="s">
        <v>432</v>
      </c>
      <c r="B95" s="2" t="s">
        <v>42</v>
      </c>
      <c r="C95" s="2" t="s">
        <v>400</v>
      </c>
      <c r="D95" s="4">
        <v>38555</v>
      </c>
      <c r="E95" s="2" t="s">
        <v>58</v>
      </c>
      <c r="G95" s="2" t="s">
        <v>118</v>
      </c>
      <c r="H95" s="2" t="s">
        <v>134</v>
      </c>
      <c r="J95" s="2" t="s">
        <v>62</v>
      </c>
      <c r="K95" s="2" t="s">
        <v>63</v>
      </c>
      <c r="L95" s="4">
        <v>46133</v>
      </c>
      <c r="M95" s="4">
        <v>46192</v>
      </c>
      <c r="O95" s="2">
        <v>8.3333333333333329E-2</v>
      </c>
      <c r="P95" s="2" t="s">
        <v>433</v>
      </c>
      <c r="Q95" s="2" t="s">
        <v>93</v>
      </c>
      <c r="R95" s="2" t="s">
        <v>136</v>
      </c>
      <c r="S95" s="4">
        <v>46133</v>
      </c>
      <c r="T95" s="4">
        <v>46315</v>
      </c>
      <c r="U95" s="2">
        <v>6</v>
      </c>
      <c r="V95" s="4">
        <v>46133</v>
      </c>
      <c r="W95" s="4">
        <v>46315</v>
      </c>
      <c r="AE95" s="2">
        <v>21</v>
      </c>
      <c r="AF95" s="2" t="s">
        <v>64</v>
      </c>
      <c r="AG95" s="2" t="s">
        <v>52</v>
      </c>
      <c r="AH95" s="2" t="s">
        <v>53</v>
      </c>
      <c r="AI95" s="2" t="s">
        <v>81</v>
      </c>
      <c r="AJ95" s="2" t="s">
        <v>55</v>
      </c>
      <c r="AK95" s="2" t="s">
        <v>111</v>
      </c>
      <c r="AL95" s="2" t="s">
        <v>200</v>
      </c>
      <c r="AM95" s="6">
        <f t="shared" si="1"/>
        <v>7</v>
      </c>
      <c r="AN95" s="2" t="s">
        <v>285</v>
      </c>
      <c r="AO95" s="2" t="s">
        <v>190</v>
      </c>
    </row>
    <row r="96" spans="1:41" x14ac:dyDescent="0.15">
      <c r="A96" s="2" t="s">
        <v>434</v>
      </c>
      <c r="B96" s="2" t="s">
        <v>42</v>
      </c>
      <c r="C96" s="2" t="s">
        <v>43</v>
      </c>
      <c r="D96" s="4">
        <v>38008</v>
      </c>
      <c r="E96" s="2" t="s">
        <v>58</v>
      </c>
      <c r="G96" s="2" t="s">
        <v>118</v>
      </c>
      <c r="H96" s="2" t="s">
        <v>134</v>
      </c>
      <c r="J96" s="2" t="s">
        <v>62</v>
      </c>
      <c r="K96" s="2" t="s">
        <v>63</v>
      </c>
      <c r="L96" s="4">
        <v>46133</v>
      </c>
      <c r="O96" s="2">
        <v>0.16666666666666671</v>
      </c>
      <c r="P96" s="2" t="s">
        <v>433</v>
      </c>
      <c r="Q96" s="2" t="s">
        <v>49</v>
      </c>
      <c r="R96" s="2" t="s">
        <v>136</v>
      </c>
      <c r="S96" s="4">
        <v>46133</v>
      </c>
      <c r="T96" s="4">
        <v>46315</v>
      </c>
      <c r="U96" s="2">
        <v>6</v>
      </c>
      <c r="V96" s="4">
        <v>46133</v>
      </c>
      <c r="W96" s="4">
        <v>46315</v>
      </c>
      <c r="AE96" s="2">
        <v>22</v>
      </c>
      <c r="AF96" s="2" t="s">
        <v>64</v>
      </c>
      <c r="AG96" s="2" t="s">
        <v>52</v>
      </c>
      <c r="AH96" s="2" t="s">
        <v>53</v>
      </c>
      <c r="AI96" s="2" t="s">
        <v>81</v>
      </c>
      <c r="AJ96" s="2" t="s">
        <v>55</v>
      </c>
      <c r="AK96" s="2" t="s">
        <v>468</v>
      </c>
      <c r="AL96" s="2" t="s">
        <v>244</v>
      </c>
      <c r="AM96" s="6">
        <f t="shared" si="1"/>
        <v>1</v>
      </c>
      <c r="AN96" s="2" t="s">
        <v>435</v>
      </c>
      <c r="AO96" s="2" t="s">
        <v>194</v>
      </c>
    </row>
    <row r="97" spans="1:41" x14ac:dyDescent="0.15">
      <c r="A97" s="2" t="s">
        <v>436</v>
      </c>
      <c r="B97" s="2" t="s">
        <v>174</v>
      </c>
      <c r="C97" s="2" t="s">
        <v>57</v>
      </c>
      <c r="D97" s="4">
        <v>33563</v>
      </c>
      <c r="E97" s="2" t="s">
        <v>240</v>
      </c>
      <c r="G97" s="2" t="s">
        <v>60</v>
      </c>
      <c r="J97" s="2" t="s">
        <v>175</v>
      </c>
      <c r="K97" s="2" t="s">
        <v>175</v>
      </c>
      <c r="L97" s="4">
        <v>45962</v>
      </c>
      <c r="O97" s="2">
        <v>0.66666666666666663</v>
      </c>
      <c r="P97" s="2" t="s">
        <v>437</v>
      </c>
      <c r="Q97" s="2" t="s">
        <v>49</v>
      </c>
      <c r="R97" s="2" t="s">
        <v>98</v>
      </c>
      <c r="S97" s="4">
        <v>45962</v>
      </c>
      <c r="T97" s="4">
        <v>46326</v>
      </c>
      <c r="U97" s="2">
        <v>12</v>
      </c>
      <c r="Z97" s="4">
        <v>45962</v>
      </c>
      <c r="AA97" s="4">
        <v>46326</v>
      </c>
      <c r="AE97" s="2">
        <v>35</v>
      </c>
      <c r="AI97" s="2" t="s">
        <v>54</v>
      </c>
      <c r="AJ97" s="2" t="s">
        <v>55</v>
      </c>
      <c r="AM97" s="6">
        <f t="shared" si="1"/>
        <v>11</v>
      </c>
      <c r="AN97" s="2" t="s">
        <v>394</v>
      </c>
    </row>
    <row r="98" spans="1:41" x14ac:dyDescent="0.15">
      <c r="A98" s="2" t="s">
        <v>438</v>
      </c>
      <c r="B98" s="2" t="s">
        <v>42</v>
      </c>
      <c r="C98" s="2" t="s">
        <v>43</v>
      </c>
      <c r="D98" s="4">
        <v>37986</v>
      </c>
      <c r="E98" s="2" t="s">
        <v>74</v>
      </c>
      <c r="F98" s="2" t="s">
        <v>90</v>
      </c>
      <c r="G98" s="2" t="s">
        <v>118</v>
      </c>
      <c r="H98" s="2" t="s">
        <v>134</v>
      </c>
      <c r="I98" s="2" t="s">
        <v>110</v>
      </c>
      <c r="J98" s="2" t="s">
        <v>78</v>
      </c>
      <c r="K98" s="2" t="s">
        <v>79</v>
      </c>
      <c r="L98" s="4">
        <v>46181</v>
      </c>
      <c r="O98" s="2">
        <v>8.3333333333333329E-2</v>
      </c>
      <c r="P98" s="2" t="s">
        <v>439</v>
      </c>
      <c r="Q98" s="2" t="s">
        <v>49</v>
      </c>
      <c r="R98" s="2" t="s">
        <v>136</v>
      </c>
      <c r="S98" s="4">
        <v>46181</v>
      </c>
      <c r="T98" s="4">
        <v>46363</v>
      </c>
      <c r="U98" s="2">
        <v>6</v>
      </c>
      <c r="V98" s="4">
        <v>46181</v>
      </c>
      <c r="W98" s="4">
        <v>46363</v>
      </c>
      <c r="AE98" s="2">
        <v>23</v>
      </c>
      <c r="AF98" s="2" t="s">
        <v>51</v>
      </c>
      <c r="AG98" s="2" t="s">
        <v>52</v>
      </c>
      <c r="AH98" s="2" t="s">
        <v>53</v>
      </c>
      <c r="AI98" s="2" t="s">
        <v>81</v>
      </c>
      <c r="AJ98" s="2" t="s">
        <v>55</v>
      </c>
      <c r="AK98" s="2" t="s">
        <v>455</v>
      </c>
      <c r="AL98" s="2" t="s">
        <v>318</v>
      </c>
      <c r="AM98" s="6">
        <f t="shared" si="1"/>
        <v>12</v>
      </c>
      <c r="AN98" s="2" t="s">
        <v>233</v>
      </c>
      <c r="AO98" s="2" t="s">
        <v>190</v>
      </c>
    </row>
    <row r="99" spans="1:41" x14ac:dyDescent="0.15">
      <c r="A99" s="2" t="s">
        <v>440</v>
      </c>
      <c r="B99" s="2" t="s">
        <v>42</v>
      </c>
      <c r="C99" s="2" t="s">
        <v>43</v>
      </c>
      <c r="D99" s="4">
        <v>35074</v>
      </c>
      <c r="E99" s="2" t="s">
        <v>282</v>
      </c>
      <c r="G99" s="2" t="s">
        <v>60</v>
      </c>
      <c r="H99" s="2" t="s">
        <v>104</v>
      </c>
      <c r="J99" s="2" t="s">
        <v>175</v>
      </c>
      <c r="K99" s="2" t="s">
        <v>63</v>
      </c>
      <c r="L99" s="4">
        <v>46204</v>
      </c>
      <c r="O99" s="2">
        <v>0</v>
      </c>
      <c r="P99" s="2" t="s">
        <v>441</v>
      </c>
      <c r="Q99" s="2" t="s">
        <v>49</v>
      </c>
      <c r="R99" s="2" t="s">
        <v>101</v>
      </c>
      <c r="S99" s="4">
        <v>46204</v>
      </c>
      <c r="T99" s="4">
        <v>46263</v>
      </c>
      <c r="U99" s="2">
        <v>2</v>
      </c>
      <c r="X99" s="4">
        <v>46204</v>
      </c>
      <c r="Y99" s="4">
        <v>46263</v>
      </c>
      <c r="AE99" s="2">
        <v>30</v>
      </c>
      <c r="AF99" s="2" t="s">
        <v>64</v>
      </c>
      <c r="AG99" s="2" t="s">
        <v>442</v>
      </c>
      <c r="AH99" s="2" t="s">
        <v>106</v>
      </c>
      <c r="AI99" s="2" t="s">
        <v>54</v>
      </c>
      <c r="AJ99" s="2" t="s">
        <v>55</v>
      </c>
      <c r="AK99" s="2" t="s">
        <v>330</v>
      </c>
      <c r="AL99" s="2" t="s">
        <v>200</v>
      </c>
      <c r="AM99" s="6">
        <f t="shared" si="1"/>
        <v>1</v>
      </c>
      <c r="AN99" s="2" t="s">
        <v>443</v>
      </c>
      <c r="AO99" s="2" t="s">
        <v>464</v>
      </c>
    </row>
    <row r="100" spans="1:41" x14ac:dyDescent="0.15">
      <c r="A100" s="2" t="s">
        <v>444</v>
      </c>
      <c r="B100" s="2" t="s">
        <v>42</v>
      </c>
      <c r="C100" s="2" t="s">
        <v>43</v>
      </c>
      <c r="D100" s="4">
        <v>38657</v>
      </c>
      <c r="E100" s="2" t="s">
        <v>74</v>
      </c>
      <c r="F100" s="2" t="s">
        <v>90</v>
      </c>
      <c r="G100" s="2" t="s">
        <v>118</v>
      </c>
      <c r="H100" s="2" t="s">
        <v>134</v>
      </c>
      <c r="J100" s="2" t="s">
        <v>467</v>
      </c>
      <c r="K100" s="2" t="s">
        <v>79</v>
      </c>
      <c r="L100" s="4">
        <v>46206</v>
      </c>
      <c r="O100" s="2">
        <v>0</v>
      </c>
      <c r="P100" s="2" t="s">
        <v>445</v>
      </c>
      <c r="Q100" s="2" t="s">
        <v>49</v>
      </c>
      <c r="R100" s="2" t="s">
        <v>136</v>
      </c>
      <c r="S100" s="4">
        <v>46206</v>
      </c>
      <c r="T100" s="4">
        <v>46390</v>
      </c>
      <c r="U100" s="2">
        <v>6</v>
      </c>
      <c r="V100" s="4">
        <v>46206</v>
      </c>
      <c r="W100" s="4">
        <v>46390</v>
      </c>
      <c r="AE100" s="2">
        <v>21</v>
      </c>
      <c r="AF100" s="2" t="s">
        <v>51</v>
      </c>
      <c r="AG100" s="2" t="s">
        <v>442</v>
      </c>
      <c r="AH100" s="2" t="s">
        <v>106</v>
      </c>
      <c r="AI100" s="2" t="s">
        <v>81</v>
      </c>
      <c r="AJ100" s="2" t="s">
        <v>55</v>
      </c>
      <c r="AK100" s="2" t="s">
        <v>453</v>
      </c>
      <c r="AL100" s="2" t="s">
        <v>232</v>
      </c>
      <c r="AM100" s="6">
        <f t="shared" si="1"/>
        <v>11</v>
      </c>
      <c r="AN100" s="2" t="s">
        <v>72</v>
      </c>
      <c r="AO100" s="2" t="s">
        <v>446</v>
      </c>
    </row>
    <row r="101" spans="1:41" x14ac:dyDescent="0.15">
      <c r="A101" s="2" t="s">
        <v>447</v>
      </c>
      <c r="B101" s="2" t="s">
        <v>42</v>
      </c>
      <c r="C101" s="2" t="s">
        <v>43</v>
      </c>
      <c r="D101" s="4">
        <v>37321</v>
      </c>
      <c r="E101" s="2" t="s">
        <v>74</v>
      </c>
      <c r="F101" s="2" t="s">
        <v>103</v>
      </c>
      <c r="G101" s="2" t="s">
        <v>60</v>
      </c>
      <c r="H101" s="2" t="s">
        <v>104</v>
      </c>
      <c r="J101" s="2" t="s">
        <v>467</v>
      </c>
      <c r="K101" s="2" t="s">
        <v>79</v>
      </c>
      <c r="L101" s="4">
        <v>46206</v>
      </c>
      <c r="O101" s="2">
        <v>0</v>
      </c>
      <c r="P101" s="2" t="s">
        <v>445</v>
      </c>
      <c r="Q101" s="2" t="s">
        <v>49</v>
      </c>
      <c r="R101" s="2" t="s">
        <v>101</v>
      </c>
      <c r="S101" s="4">
        <v>46206</v>
      </c>
      <c r="T101" s="4">
        <v>46266</v>
      </c>
      <c r="U101" s="2">
        <v>2</v>
      </c>
      <c r="X101" s="4">
        <v>46206</v>
      </c>
      <c r="Y101" s="4">
        <v>46266</v>
      </c>
      <c r="AE101" s="2">
        <v>24</v>
      </c>
      <c r="AF101" s="2" t="s">
        <v>64</v>
      </c>
      <c r="AG101" s="2" t="s">
        <v>442</v>
      </c>
      <c r="AH101" s="2" t="s">
        <v>106</v>
      </c>
      <c r="AI101" s="2" t="s">
        <v>81</v>
      </c>
      <c r="AJ101" s="2" t="s">
        <v>55</v>
      </c>
      <c r="AK101" s="2" t="s">
        <v>453</v>
      </c>
      <c r="AL101" s="2" t="s">
        <v>147</v>
      </c>
      <c r="AM101" s="6">
        <f t="shared" si="1"/>
        <v>3</v>
      </c>
      <c r="AN101" s="2" t="s">
        <v>254</v>
      </c>
      <c r="AO101" s="2" t="s">
        <v>448</v>
      </c>
    </row>
  </sheetData>
  <autoFilter ref="A1:AO1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Doan Thi Hong An</cp:lastModifiedBy>
  <dcterms:created xsi:type="dcterms:W3CDTF">2026-07-08T07:26:07Z</dcterms:created>
  <dcterms:modified xsi:type="dcterms:W3CDTF">2026-07-09T09:16:22Z</dcterms:modified>
</cp:coreProperties>
</file>